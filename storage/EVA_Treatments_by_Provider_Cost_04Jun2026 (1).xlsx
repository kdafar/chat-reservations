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eatment Cost Breakdown" sheetId="1" state="visible" r:id="rId1"/>
    <sheet xmlns:r="http://schemas.openxmlformats.org/officeDocument/2006/relationships" name="First Inventory Order" sheetId="2" state="visible" r:id="rId2"/>
    <sheet xmlns:r="http://schemas.openxmlformats.org/officeDocument/2006/relationships" name="Competitors Sabah Al-Salem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anrope"/>
      <charset val="1"/>
      <family val="0"/>
      <b val="1"/>
      <color rgb="FF0E1217"/>
      <sz val="14"/>
    </font>
    <font>
      <name val="Manrope"/>
      <charset val="1"/>
      <family val="0"/>
      <color rgb="FF0E1217"/>
      <sz val="16"/>
    </font>
    <font>
      <name val="Manrope"/>
      <charset val="1"/>
      <family val="0"/>
      <color rgb="FF5A7A75"/>
      <sz val="9"/>
    </font>
    <font>
      <name val="Manrope"/>
      <charset val="1"/>
      <family val="0"/>
      <color rgb="FF5A7A75"/>
      <sz val="12"/>
    </font>
    <font>
      <name val="Manrope"/>
      <charset val="1"/>
      <family val="0"/>
      <b val="1"/>
      <color rgb="FF0E1217"/>
      <sz val="9"/>
    </font>
    <font>
      <name val="Tajawal"/>
      <charset val="1"/>
      <family val="0"/>
      <b val="1"/>
      <color rgb="FF0E1217"/>
      <sz val="9"/>
    </font>
    <font>
      <name val="Manrope"/>
      <charset val="1"/>
      <family val="0"/>
      <color rgb="FF0E1217"/>
      <sz val="10"/>
    </font>
    <font>
      <name val="Tajawal"/>
      <charset val="1"/>
      <family val="0"/>
      <color rgb="FF0E1217"/>
      <sz val="10"/>
    </font>
    <font>
      <name val="Manrope"/>
      <charset val="1"/>
      <family val="0"/>
      <b val="1"/>
      <color rgb="FF0E1217"/>
      <sz val="10"/>
    </font>
    <font>
      <name val="Manrope"/>
      <charset val="1"/>
      <family val="0"/>
      <color rgb="FF5A7A75"/>
      <sz val="8"/>
    </font>
    <font>
      <name val="Manrope"/>
      <charset val="1"/>
      <family val="0"/>
      <b val="1"/>
      <color rgb="FF5A7A75"/>
      <sz val="9"/>
    </font>
    <font>
      <name val="Manrope"/>
      <charset val="1"/>
      <family val="0"/>
      <b val="1"/>
      <color rgb="FFB07D2B"/>
      <sz val="9"/>
    </font>
    <font>
      <name val="Manrope"/>
      <charset val="1"/>
      <family val="0"/>
      <b val="1"/>
      <color rgb="FFA33B3B"/>
      <sz val="9"/>
    </font>
    <font>
      <name val="Manrope"/>
      <charset val="1"/>
      <family val="0"/>
      <b val="1"/>
      <color rgb="FF0E1217"/>
      <sz val="12"/>
    </font>
    <font>
      <name val="Manrope"/>
      <b val="1"/>
      <color rgb="000E1217"/>
      <sz val="14"/>
    </font>
    <font>
      <name val="Manrope"/>
      <color rgb="000E1217"/>
      <sz val="16"/>
    </font>
    <font>
      <name val="Manrope"/>
      <color rgb="005A7A75"/>
      <sz val="9"/>
    </font>
    <font>
      <name val="Manrope"/>
      <color rgb="005A7A75"/>
      <sz val="12"/>
    </font>
    <font>
      <name val="Manrope"/>
      <b val="1"/>
      <color rgb="000E1217"/>
      <sz val="9"/>
    </font>
    <font>
      <name val="Manrope"/>
      <color rgb="000E1217"/>
      <sz val="10"/>
    </font>
    <font>
      <name val="Manrope"/>
      <color rgb="005A7A75"/>
      <sz val="8"/>
    </font>
  </fonts>
  <fills count="6">
    <fill>
      <patternFill/>
    </fill>
    <fill>
      <patternFill patternType="gray125"/>
    </fill>
    <fill>
      <patternFill patternType="solid">
        <fgColor rgb="FFF7F1E5"/>
        <bgColor rgb="FFECEAE5"/>
      </patternFill>
    </fill>
    <fill>
      <patternFill patternType="solid">
        <fgColor rgb="FFECEAE5"/>
        <bgColor rgb="FFF7F1E5"/>
      </patternFill>
    </fill>
    <fill>
      <patternFill patternType="solid">
        <fgColor rgb="00ECEAE5"/>
      </patternFill>
    </fill>
    <fill>
      <patternFill patternType="solid">
        <fgColor rgb="00F7F1E5"/>
      </patternFill>
    </fill>
  </fills>
  <borders count="3">
    <border>
      <left/>
      <right/>
      <top/>
      <bottom/>
      <diagonal/>
    </border>
    <border>
      <left/>
      <right/>
      <top/>
      <bottom style="thin">
        <color rgb="FFECEAE5"/>
      </bottom>
      <diagonal/>
    </border>
    <border>
      <bottom style="thin">
        <color rgb="00ECEAE5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left" vertical="bottom" wrapText="1"/>
    </xf>
    <xf numFmtId="0" fontId="9" fillId="3" borderId="1" applyAlignment="1" pivotButton="0" quotePrefix="0" xfId="0">
      <alignment horizontal="right" vertical="bottom" wrapText="1"/>
    </xf>
    <xf numFmtId="0" fontId="8" fillId="3" borderId="1" applyAlignment="1" pivotButton="0" quotePrefix="0" xfId="0">
      <alignment horizontal="right" vertical="bottom" wrapText="1"/>
    </xf>
    <xf numFmtId="0" fontId="10" fillId="2" borderId="1" applyAlignment="1" pivotButton="0" quotePrefix="0" xfId="0">
      <alignment horizontal="general" vertical="bottom"/>
    </xf>
    <xf numFmtId="0" fontId="11" fillId="2" borderId="1" applyAlignment="1" pivotButton="0" quotePrefix="0" xfId="0">
      <alignment horizontal="right" vertical="bottom" readingOrder="2"/>
    </xf>
    <xf numFmtId="1" fontId="10" fillId="2" borderId="1" applyAlignment="1" pivotButton="0" quotePrefix="0" xfId="0">
      <alignment horizontal="general" vertical="bottom"/>
    </xf>
    <xf numFmtId="4" fontId="10" fillId="2" borderId="1" applyAlignment="1" pivotButton="0" quotePrefix="0" xfId="0">
      <alignment horizontal="general" vertical="bottom"/>
    </xf>
    <xf numFmtId="4" fontId="12" fillId="2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4" fontId="8" fillId="2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3" fontId="10" fillId="2" borderId="1" applyAlignment="1" pivotButton="0" quotePrefix="0" xfId="0">
      <alignment horizontal="general" vertical="bottom"/>
    </xf>
    <xf numFmtId="164" fontId="10" fillId="2" borderId="1" applyAlignment="1" pivotButton="0" quotePrefix="0" xfId="0">
      <alignment horizontal="general" vertical="bottom"/>
    </xf>
    <xf numFmtId="3" fontId="8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left" vertical="bottom"/>
    </xf>
    <xf numFmtId="0" fontId="8" fillId="3" borderId="1" applyAlignment="1" pivotButton="0" quotePrefix="0" xfId="0">
      <alignment horizontal="right" vertical="bottom"/>
    </xf>
    <xf numFmtId="0" fontId="10" fillId="2" borderId="1" applyAlignment="1" pivotButton="0" quotePrefix="0" xfId="0">
      <alignment horizontal="general" vertical="bottom"/>
    </xf>
    <xf numFmtId="4" fontId="10" fillId="2" borderId="1" applyAlignment="1" pivotButton="0" quotePrefix="0" xfId="0">
      <alignment horizontal="general" vertical="bottom"/>
    </xf>
    <xf numFmtId="1" fontId="10" fillId="2" borderId="1" applyAlignment="1" pivotButton="0" quotePrefix="0" xfId="0">
      <alignment horizontal="general" vertical="bottom"/>
    </xf>
    <xf numFmtId="0" fontId="14" fillId="2" borderId="1" applyAlignment="1" pivotButton="0" quotePrefix="0" xfId="0">
      <alignment horizontal="general" vertical="bottom"/>
    </xf>
    <xf numFmtId="0" fontId="15" fillId="2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4" fontId="8" fillId="2" borderId="1" applyAlignment="1" pivotButton="0" quotePrefix="0" xfId="0">
      <alignment horizontal="general" vertical="bottom"/>
    </xf>
    <xf numFmtId="0" fontId="16" fillId="2" borderId="1" applyAlignment="1" pivotButton="0" quotePrefix="0" xfId="0">
      <alignment horizontal="general" vertical="bottom"/>
    </xf>
    <xf numFmtId="0" fontId="17" fillId="2" borderId="0" applyAlignment="1" pivotButton="0" quotePrefix="0" xfId="0">
      <alignment horizontal="general" vertical="bottom"/>
    </xf>
    <xf numFmtId="4" fontId="17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left" vertical="bottom" wrapText="1"/>
    </xf>
    <xf numFmtId="0" fontId="9" fillId="3" borderId="1" applyAlignment="1" pivotButton="0" quotePrefix="0" xfId="0">
      <alignment horizontal="right" vertical="bottom" wrapText="1"/>
    </xf>
    <xf numFmtId="0" fontId="8" fillId="3" borderId="1" applyAlignment="1" pivotButton="0" quotePrefix="0" xfId="0">
      <alignment horizontal="right" vertical="bottom" wrapText="1"/>
    </xf>
    <xf numFmtId="0" fontId="10" fillId="2" borderId="1" applyAlignment="1" pivotButton="0" quotePrefix="0" xfId="0">
      <alignment horizontal="general" vertical="bottom"/>
    </xf>
    <xf numFmtId="0" fontId="11" fillId="2" borderId="1" applyAlignment="1" pivotButton="0" quotePrefix="0" xfId="0">
      <alignment horizontal="right" vertical="bottom" readingOrder="2"/>
    </xf>
    <xf numFmtId="1" fontId="10" fillId="2" borderId="1" applyAlignment="1" pivotButton="0" quotePrefix="0" xfId="0">
      <alignment horizontal="general" vertical="bottom"/>
    </xf>
    <xf numFmtId="4" fontId="10" fillId="2" borderId="1" applyAlignment="1" pivotButton="0" quotePrefix="0" xfId="0">
      <alignment horizontal="general" vertical="bottom"/>
    </xf>
    <xf numFmtId="4" fontId="12" fillId="2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4" fontId="8" fillId="2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3" fontId="10" fillId="2" borderId="1" applyAlignment="1" pivotButton="0" quotePrefix="0" xfId="0">
      <alignment horizontal="general" vertical="bottom"/>
    </xf>
    <xf numFmtId="164" fontId="10" fillId="2" borderId="1" applyAlignment="1" pivotButton="0" quotePrefix="0" xfId="0">
      <alignment horizontal="general" vertical="bottom"/>
    </xf>
    <xf numFmtId="3" fontId="8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left" vertical="bottom"/>
    </xf>
    <xf numFmtId="0" fontId="8" fillId="3" borderId="1" applyAlignment="1" pivotButton="0" quotePrefix="0" xfId="0">
      <alignment horizontal="right" vertical="bottom"/>
    </xf>
    <xf numFmtId="0" fontId="14" fillId="2" borderId="1" applyAlignment="1" pivotButton="0" quotePrefix="0" xfId="0">
      <alignment horizontal="general" vertical="bottom"/>
    </xf>
    <xf numFmtId="0" fontId="15" fillId="2" borderId="1" applyAlignment="1" pivotButton="0" quotePrefix="0" xfId="0">
      <alignment horizontal="general" vertical="bottom"/>
    </xf>
    <xf numFmtId="0" fontId="16" fillId="2" borderId="1" applyAlignment="1" pivotButton="0" quotePrefix="0" xfId="0">
      <alignment horizontal="general" vertical="bottom"/>
    </xf>
    <xf numFmtId="0" fontId="17" fillId="2" borderId="0" applyAlignment="1" pivotButton="0" quotePrefix="0" xfId="0">
      <alignment horizontal="general" vertical="bottom"/>
    </xf>
    <xf numFmtId="4" fontId="17" fillId="2" borderId="0" applyAlignment="1" pivotButton="0" quotePrefix="0" xfId="0">
      <alignment horizontal="general" vertical="bottom"/>
    </xf>
    <xf numFmtId="0" fontId="18" fillId="5" borderId="0" pivotButton="0" quotePrefix="0" xfId="0"/>
    <xf numFmtId="0" fontId="0" fillId="5" borderId="0" pivotButton="0" quotePrefix="0" xfId="0"/>
    <xf numFmtId="0" fontId="19" fillId="5" borderId="0" applyAlignment="1" pivotButton="0" quotePrefix="0" xfId="0">
      <alignment horizontal="right"/>
    </xf>
    <xf numFmtId="0" fontId="20" fillId="5" borderId="0" applyAlignment="1" pivotButton="0" quotePrefix="0" xfId="0">
      <alignment horizontal="right"/>
    </xf>
    <xf numFmtId="0" fontId="21" fillId="5" borderId="0" pivotButton="0" quotePrefix="0" xfId="0"/>
    <xf numFmtId="0" fontId="22" fillId="4" borderId="2" pivotButton="0" quotePrefix="0" xfId="0"/>
    <xf numFmtId="0" fontId="23" fillId="5" borderId="2" applyAlignment="1" pivotButton="0" quotePrefix="0" xfId="0">
      <alignment vertical="top" wrapText="1"/>
    </xf>
    <xf numFmtId="0" fontId="20" fillId="5" borderId="0" applyAlignment="1" pivotButton="0" quotePrefix="0" xfId="0">
      <alignment vertical="top" wrapText="1"/>
    </xf>
    <xf numFmtId="0" fontId="24" fillId="5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CEAE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D2B"/>
      <rgbColor rgb="FF800080"/>
      <rgbColor rgb="FF008080"/>
      <rgbColor rgb="FFC0C0C0"/>
      <rgbColor rgb="FF808080"/>
      <rgbColor rgb="FF9999FF"/>
      <rgbColor rgb="FFA33B3B"/>
      <rgbColor rgb="FFF7F1E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7A75"/>
      <rgbColor rgb="FF969696"/>
      <rgbColor rgb="FF003366"/>
      <rgbColor rgb="FF339966"/>
      <rgbColor rgb="FF0E1217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4" customWidth="1" style="41" min="1" max="1"/>
    <col width="40" customWidth="1" style="41" min="2" max="2"/>
    <col width="18" customWidth="1" style="41" min="3" max="3"/>
    <col width="30" customWidth="1" style="41" min="4" max="4"/>
    <col width="8" customWidth="1" style="41" min="5" max="7"/>
    <col width="13" customWidth="1" style="41" min="8" max="8"/>
    <col width="11" customWidth="1" style="41" min="9" max="9"/>
    <col width="12" customWidth="1" style="41" min="10" max="11"/>
    <col width="13" customWidth="1" style="41" min="12" max="12"/>
  </cols>
  <sheetData>
    <row r="1" ht="19.5" customHeight="1" s="42">
      <c r="A1" s="43" t="inlineStr">
        <is>
          <t>EVA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5" t="inlineStr">
        <is>
          <t>Treatment Cost Breakdown — Provider &amp; Equipment</t>
        </is>
      </c>
    </row>
    <row r="2" ht="15" customHeight="1" s="42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4" t="n"/>
      <c r="K2" s="44" t="n"/>
      <c r="L2" s="46" t="inlineStr">
        <is>
          <t>Internal · 4 June 2026 · Source: Pricing Study v3 (18 May 2026), activity-based costing</t>
        </is>
      </c>
    </row>
    <row r="3" ht="15" customHeight="1" s="42">
      <c r="A3" s="44" t="n"/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</row>
    <row r="4" ht="15" customHeight="1" s="42">
      <c r="A4" s="47" t="inlineStr">
        <is>
          <t>Dr. Kareem  (53 treatments)</t>
        </is>
      </c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</row>
    <row r="5" ht="21.75" customHeight="1" s="42">
      <c r="A5" s="48" t="inlineStr">
        <is>
          <t>Treatment</t>
        </is>
      </c>
      <c r="B5" s="49" t="inlineStr">
        <is>
          <t>العلاج</t>
        </is>
      </c>
      <c r="C5" s="48" t="inlineStr">
        <is>
          <t>Category</t>
        </is>
      </c>
      <c r="D5" s="48" t="inlineStr">
        <is>
          <t>Equipment Required</t>
        </is>
      </c>
      <c r="E5" s="50" t="inlineStr">
        <is>
          <t>Dr min</t>
        </is>
      </c>
      <c r="F5" s="50" t="inlineStr">
        <is>
          <t>Nurse min</t>
        </is>
      </c>
      <c r="G5" s="50" t="inlineStr">
        <is>
          <t>Beaut min</t>
        </is>
      </c>
      <c r="H5" s="50" t="inlineStr">
        <is>
          <t>Consumables KD</t>
        </is>
      </c>
      <c r="I5" s="50" t="inlineStr">
        <is>
          <t>Labour KD</t>
        </is>
      </c>
      <c r="J5" s="50" t="inlineStr">
        <is>
          <t>Equip Dep KD</t>
        </is>
      </c>
      <c r="K5" s="50" t="inlineStr">
        <is>
          <t>Overhead KD</t>
        </is>
      </c>
      <c r="L5" s="50" t="inlineStr">
        <is>
          <t>TOTAL COST KD</t>
        </is>
      </c>
    </row>
    <row r="6" ht="15" customHeight="1" s="42">
      <c r="A6" s="51" t="inlineStr">
        <is>
          <t>Acne + wrinkle combo session</t>
        </is>
      </c>
      <c r="B6" s="52" t="inlineStr">
        <is>
          <t>جلسة علاجية مدمجة — حب الشباب والتجاعيد</t>
        </is>
      </c>
      <c r="C6" s="51" t="inlineStr">
        <is>
          <t>Acne</t>
        </is>
      </c>
      <c r="D6" s="51" t="inlineStr">
        <is>
          <t>Dermapen 4 + PRP centrifuge</t>
        </is>
      </c>
      <c r="E6" s="53" t="n">
        <v>15</v>
      </c>
      <c r="F6" s="53" t="n">
        <v>30</v>
      </c>
      <c r="G6" s="53" t="n">
        <v>0</v>
      </c>
      <c r="H6" s="54" t="n">
        <v>9.5</v>
      </c>
      <c r="I6" s="54" t="n">
        <v>5.42</v>
      </c>
      <c r="J6" s="54" t="n">
        <v>0.2</v>
      </c>
      <c r="K6" s="54" t="n">
        <v>10.93</v>
      </c>
      <c r="L6" s="55">
        <f>SUM(H6:K6)</f>
        <v/>
      </c>
    </row>
    <row r="7" ht="15" customHeight="1" s="42">
      <c r="A7" s="51" t="inlineStr">
        <is>
          <t>Active acne — combined medical + peel protocol</t>
        </is>
      </c>
      <c r="B7" s="52" t="inlineStr">
        <is>
          <t>علاج حب الشباب النشط — بروتوكول دوائي + تقشير كيميائي</t>
        </is>
      </c>
      <c r="C7" s="51" t="inlineStr">
        <is>
          <t>Acne</t>
        </is>
      </c>
      <c r="D7" s="51" t="inlineStr">
        <is>
          <t>None — injection trays / doctor room</t>
        </is>
      </c>
      <c r="E7" s="53" t="n">
        <v>15</v>
      </c>
      <c r="F7" s="53" t="n">
        <v>30</v>
      </c>
      <c r="G7" s="53" t="n">
        <v>0</v>
      </c>
      <c r="H7" s="54" t="n">
        <v>9.5</v>
      </c>
      <c r="I7" s="54" t="n">
        <v>5.42</v>
      </c>
      <c r="J7" s="54" t="n">
        <v>0</v>
      </c>
      <c r="K7" s="54" t="n">
        <v>10.93</v>
      </c>
      <c r="L7" s="55">
        <f>SUM(H7:K7)</f>
        <v/>
      </c>
    </row>
    <row r="8" ht="15" customHeight="1" s="42">
      <c r="A8" s="51" t="inlineStr">
        <is>
          <t>Dark circles treatment (mesotherapy + topical)</t>
        </is>
      </c>
      <c r="B8" s="52" t="inlineStr">
        <is>
          <t>علاج الهالات السوداء (ميزوثيرابي + علاج موضعي)</t>
        </is>
      </c>
      <c r="C8" s="51" t="inlineStr">
        <is>
          <t>Aesthetic</t>
        </is>
      </c>
      <c r="D8" s="51" t="inlineStr">
        <is>
          <t>None — injection trays / doctor room</t>
        </is>
      </c>
      <c r="E8" s="53" t="n">
        <v>20</v>
      </c>
      <c r="F8" s="53" t="n">
        <v>20</v>
      </c>
      <c r="G8" s="53" t="n">
        <v>0</v>
      </c>
      <c r="H8" s="54" t="n">
        <v>12.5</v>
      </c>
      <c r="I8" s="54" t="n">
        <v>5.53</v>
      </c>
      <c r="J8" s="54" t="n">
        <v>0</v>
      </c>
      <c r="K8" s="54" t="n">
        <v>9.84</v>
      </c>
      <c r="L8" s="55">
        <f>SUM(H8:K8)</f>
        <v/>
      </c>
    </row>
    <row r="9" ht="15" customHeight="1" s="42">
      <c r="A9" s="51" t="inlineStr">
        <is>
          <t>Instant-lift injection (skin booster)</t>
        </is>
      </c>
      <c r="B9" s="52" t="inlineStr">
        <is>
          <t>حقن النضارة الفورية (معزز بشرة)</t>
        </is>
      </c>
      <c r="C9" s="51" t="inlineStr">
        <is>
          <t>Aesthetic</t>
        </is>
      </c>
      <c r="D9" s="51" t="inlineStr">
        <is>
          <t>None — injection trays / doctor room</t>
        </is>
      </c>
      <c r="E9" s="53" t="n">
        <v>20</v>
      </c>
      <c r="F9" s="53" t="n">
        <v>10</v>
      </c>
      <c r="G9" s="53" t="n">
        <v>0</v>
      </c>
      <c r="H9" s="54" t="n">
        <v>50.5</v>
      </c>
      <c r="I9" s="54" t="n">
        <v>4.73</v>
      </c>
      <c r="J9" s="54" t="n">
        <v>0</v>
      </c>
      <c r="K9" s="54" t="n">
        <v>7.65</v>
      </c>
      <c r="L9" s="55">
        <f>SUM(H9:K9)</f>
        <v/>
      </c>
    </row>
    <row r="10" ht="15" customHeight="1" s="42">
      <c r="A10" s="51" t="inlineStr">
        <is>
          <t>Vitamin Dermapen (single)</t>
        </is>
      </c>
      <c r="B10" s="52" t="inlineStr">
        <is>
          <t>الوخز الدقيق بالإبر مع الفيتامينات (ديرمابن، جلسة)</t>
        </is>
      </c>
      <c r="C10" s="51" t="inlineStr">
        <is>
          <t>Aesthetic — Dermapen</t>
        </is>
      </c>
      <c r="D10" s="51" t="inlineStr">
        <is>
          <t>Dermapen 4 + PRP centrifuge</t>
        </is>
      </c>
      <c r="E10" s="53" t="n">
        <v>5</v>
      </c>
      <c r="F10" s="53" t="n">
        <v>35</v>
      </c>
      <c r="G10" s="53" t="n">
        <v>0</v>
      </c>
      <c r="H10" s="54" t="n">
        <v>15</v>
      </c>
      <c r="I10" s="54" t="n">
        <v>4</v>
      </c>
      <c r="J10" s="54" t="n">
        <v>0.2</v>
      </c>
      <c r="K10" s="54" t="n">
        <v>9.84</v>
      </c>
      <c r="L10" s="55">
        <f>SUM(H10:K10)</f>
        <v/>
      </c>
    </row>
    <row r="11" ht="15" customHeight="1" s="42">
      <c r="A11" s="51" t="inlineStr">
        <is>
          <t>Collagen stimulator — Radiesse / Sculptra (1 vial)</t>
        </is>
      </c>
      <c r="B11" s="52" t="inlineStr">
        <is>
          <t>محفزات الكولاجين الحيوية — راديس / سكلبترا (فيال)</t>
        </is>
      </c>
      <c r="C11" s="51" t="inlineStr">
        <is>
          <t>Bio-Stimulators</t>
        </is>
      </c>
      <c r="D11" s="51" t="inlineStr">
        <is>
          <t>None — injection trays / doctor room</t>
        </is>
      </c>
      <c r="E11" s="53" t="n">
        <v>30</v>
      </c>
      <c r="F11" s="53" t="n">
        <v>15</v>
      </c>
      <c r="G11" s="53" t="n">
        <v>0</v>
      </c>
      <c r="H11" s="54" t="n">
        <v>82.7</v>
      </c>
      <c r="I11" s="54" t="n">
        <v>6.95</v>
      </c>
      <c r="J11" s="54" t="n">
        <v>0</v>
      </c>
      <c r="K11" s="54" t="n">
        <v>10.93</v>
      </c>
      <c r="L11" s="55">
        <f>SUM(H11:K11)</f>
        <v/>
      </c>
    </row>
    <row r="12" ht="15" customHeight="1" s="42">
      <c r="A12" s="51" t="inlineStr">
        <is>
          <t>Skin Booster — general (1 ml)</t>
        </is>
      </c>
      <c r="B12" s="52" t="inlineStr">
        <is>
          <t>معزز البشرة — عام (1 مل)</t>
        </is>
      </c>
      <c r="C12" s="51" t="inlineStr">
        <is>
          <t>Bio-Stimulators</t>
        </is>
      </c>
      <c r="D12" s="51" t="inlineStr">
        <is>
          <t>None — injection trays / doctor room</t>
        </is>
      </c>
      <c r="E12" s="53" t="n">
        <v>25</v>
      </c>
      <c r="F12" s="53" t="n">
        <v>10</v>
      </c>
      <c r="G12" s="53" t="n">
        <v>0</v>
      </c>
      <c r="H12" s="54" t="n">
        <v>50.5</v>
      </c>
      <c r="I12" s="54" t="n">
        <v>5.64</v>
      </c>
      <c r="J12" s="54" t="n">
        <v>0</v>
      </c>
      <c r="K12" s="54" t="n">
        <v>8.75</v>
      </c>
      <c r="L12" s="55">
        <f>SUM(H12:K12)</f>
        <v/>
      </c>
    </row>
    <row r="13" ht="15" customHeight="1" s="42">
      <c r="A13" s="51" t="inlineStr">
        <is>
          <t>Skin Booster — rejuvenation</t>
        </is>
      </c>
      <c r="B13" s="52" t="inlineStr">
        <is>
          <t>معزز البشرة — للنضارة</t>
        </is>
      </c>
      <c r="C13" s="51" t="inlineStr">
        <is>
          <t>Bio-Stimulators</t>
        </is>
      </c>
      <c r="D13" s="51" t="inlineStr">
        <is>
          <t>None — injection trays / doctor room</t>
        </is>
      </c>
      <c r="E13" s="53" t="n">
        <v>25</v>
      </c>
      <c r="F13" s="53" t="n">
        <v>10</v>
      </c>
      <c r="G13" s="53" t="n">
        <v>0</v>
      </c>
      <c r="H13" s="54" t="n">
        <v>50.5</v>
      </c>
      <c r="I13" s="54" t="n">
        <v>5.64</v>
      </c>
      <c r="J13" s="54" t="n">
        <v>0</v>
      </c>
      <c r="K13" s="54" t="n">
        <v>8.75</v>
      </c>
      <c r="L13" s="55">
        <f>SUM(H13:K13)</f>
        <v/>
      </c>
    </row>
    <row r="14" ht="15" customHeight="1" s="42">
      <c r="A14" s="51" t="inlineStr">
        <is>
          <t>Skin Booster — tightening</t>
        </is>
      </c>
      <c r="B14" s="52" t="inlineStr">
        <is>
          <t>معزز البشرة — لشد البشرة</t>
        </is>
      </c>
      <c r="C14" s="51" t="inlineStr">
        <is>
          <t>Bio-Stimulators</t>
        </is>
      </c>
      <c r="D14" s="51" t="inlineStr">
        <is>
          <t>None — injection trays / doctor room</t>
        </is>
      </c>
      <c r="E14" s="53" t="n">
        <v>25</v>
      </c>
      <c r="F14" s="53" t="n">
        <v>10</v>
      </c>
      <c r="G14" s="53" t="n">
        <v>0</v>
      </c>
      <c r="H14" s="54" t="n">
        <v>50.5</v>
      </c>
      <c r="I14" s="54" t="n">
        <v>5.64</v>
      </c>
      <c r="J14" s="54" t="n">
        <v>0</v>
      </c>
      <c r="K14" s="54" t="n">
        <v>8.75</v>
      </c>
      <c r="L14" s="55">
        <f>SUM(H14:K14)</f>
        <v/>
      </c>
    </row>
    <row r="15" ht="15" customHeight="1" s="42">
      <c r="A15" s="51" t="inlineStr">
        <is>
          <t>Skin booster — Profhilo (2ml)</t>
        </is>
      </c>
      <c r="B15" s="52" t="inlineStr">
        <is>
          <t>معزز البشرة بحمض الهيالورونيك — بروفايلو (2 مل)</t>
        </is>
      </c>
      <c r="C15" s="51" t="inlineStr">
        <is>
          <t>Bio-Stimulators</t>
        </is>
      </c>
      <c r="D15" s="51" t="inlineStr">
        <is>
          <t>None — injection trays / doctor room</t>
        </is>
      </c>
      <c r="E15" s="53" t="n">
        <v>25</v>
      </c>
      <c r="F15" s="53" t="n">
        <v>10</v>
      </c>
      <c r="G15" s="53" t="n">
        <v>0</v>
      </c>
      <c r="H15" s="54" t="n">
        <v>82</v>
      </c>
      <c r="I15" s="54" t="n">
        <v>5.64</v>
      </c>
      <c r="J15" s="54" t="n">
        <v>0</v>
      </c>
      <c r="K15" s="54" t="n">
        <v>8.75</v>
      </c>
      <c r="L15" s="55">
        <f>SUM(H15:K15)</f>
        <v/>
      </c>
    </row>
    <row r="16" ht="15" customHeight="1" s="42">
      <c r="A16" s="51" t="inlineStr">
        <is>
          <t>Skin booster — Sunekos / NCTF (1 session)</t>
        </is>
      </c>
      <c r="B16" s="52" t="inlineStr">
        <is>
          <t>معزز البشرة — سونيكوس / إن سي تي إف (جلسة)</t>
        </is>
      </c>
      <c r="C16" s="51" t="inlineStr">
        <is>
          <t>Bio-Stimulators</t>
        </is>
      </c>
      <c r="D16" s="51" t="inlineStr">
        <is>
          <t>None — injection trays / doctor room</t>
        </is>
      </c>
      <c r="E16" s="53" t="n">
        <v>25</v>
      </c>
      <c r="F16" s="53" t="n">
        <v>10</v>
      </c>
      <c r="G16" s="53" t="n">
        <v>0</v>
      </c>
      <c r="H16" s="54" t="n">
        <v>50.5</v>
      </c>
      <c r="I16" s="54" t="n">
        <v>5.64</v>
      </c>
      <c r="J16" s="54" t="n">
        <v>0</v>
      </c>
      <c r="K16" s="54" t="n">
        <v>8.75</v>
      </c>
      <c r="L16" s="55">
        <f>SUM(H16:K16)</f>
        <v/>
      </c>
    </row>
    <row r="17" ht="15" customHeight="1" s="42">
      <c r="A17" s="51" t="inlineStr">
        <is>
          <t>Stem cell therapy (premium)</t>
        </is>
      </c>
      <c r="B17" s="52" t="inlineStr">
        <is>
          <t>العلاج بالخلايا الجذعية (الفئة الفائقة)</t>
        </is>
      </c>
      <c r="C17" s="51" t="inlineStr">
        <is>
          <t>Bio-Stimulators</t>
        </is>
      </c>
      <c r="D17" s="51" t="inlineStr">
        <is>
          <t>Dermapen 4 + PRP centrifuge</t>
        </is>
      </c>
      <c r="E17" s="53" t="n">
        <v>25</v>
      </c>
      <c r="F17" s="53" t="n">
        <v>25</v>
      </c>
      <c r="G17" s="53" t="n">
        <v>0</v>
      </c>
      <c r="H17" s="54" t="n">
        <v>86.5</v>
      </c>
      <c r="I17" s="54" t="n">
        <v>6.84</v>
      </c>
      <c r="J17" s="54" t="n">
        <v>0.2</v>
      </c>
      <c r="K17" s="54" t="n">
        <v>12.03</v>
      </c>
      <c r="L17" s="55">
        <f>SUM(H17:K17)</f>
        <v/>
      </c>
    </row>
    <row r="18" ht="15" customHeight="1" s="42">
      <c r="A18" s="51" t="inlineStr">
        <is>
          <t>Jawline + double-chin definition (Kybella/Lemon Bottle)</t>
        </is>
      </c>
      <c r="B18" s="52" t="inlineStr">
        <is>
          <t>نحت خط الفك وعلاج الذقن المزدوجة — حقن إذابة الدهون</t>
        </is>
      </c>
      <c r="C18" s="51" t="inlineStr">
        <is>
          <t>Body Contouring</t>
        </is>
      </c>
      <c r="D18" s="51" t="inlineStr">
        <is>
          <t>None — injection trays / doctor room</t>
        </is>
      </c>
      <c r="E18" s="53" t="n">
        <v>20</v>
      </c>
      <c r="F18" s="53" t="n">
        <v>15</v>
      </c>
      <c r="G18" s="53" t="n">
        <v>0</v>
      </c>
      <c r="H18" s="54" t="n">
        <v>25.5</v>
      </c>
      <c r="I18" s="54" t="n">
        <v>5.13</v>
      </c>
      <c r="J18" s="54" t="n">
        <v>0</v>
      </c>
      <c r="K18" s="54" t="n">
        <v>8.75</v>
      </c>
      <c r="L18" s="55">
        <f>SUM(H18:K18)</f>
        <v/>
      </c>
    </row>
    <row r="19" ht="15" customHeight="1" s="42">
      <c r="A19" s="51" t="inlineStr">
        <is>
          <t>Fat-dissolving injection (per area, e.g. chin/abdomen)</t>
        </is>
      </c>
      <c r="B19" s="52" t="inlineStr">
        <is>
          <t>حقن إذابة الدهون الموضعية (للمنطقة الواحدة)</t>
        </is>
      </c>
      <c r="C19" s="51" t="inlineStr">
        <is>
          <t>Body — Fat Dissolve</t>
        </is>
      </c>
      <c r="D19" s="51" t="inlineStr">
        <is>
          <t>None — injection trays / doctor room</t>
        </is>
      </c>
      <c r="E19" s="53" t="n">
        <v>20</v>
      </c>
      <c r="F19" s="53" t="n">
        <v>15</v>
      </c>
      <c r="G19" s="53" t="n">
        <v>0</v>
      </c>
      <c r="H19" s="54" t="n">
        <v>26.5</v>
      </c>
      <c r="I19" s="54" t="n">
        <v>5.13</v>
      </c>
      <c r="J19" s="54" t="n">
        <v>0</v>
      </c>
      <c r="K19" s="54" t="n">
        <v>8.75</v>
      </c>
      <c r="L19" s="55">
        <f>SUM(H19:K19)</f>
        <v/>
      </c>
    </row>
    <row r="20" ht="15" customHeight="1" s="42">
      <c r="A20" s="51" t="inlineStr">
        <is>
          <t>Glycolic / Salicylic peel — single</t>
        </is>
      </c>
      <c r="B20" s="52" t="inlineStr">
        <is>
          <t>التقشير الكيميائي — حمض الجليكوليك / الساليسيليك (جلسة)</t>
        </is>
      </c>
      <c r="C20" s="51" t="inlineStr">
        <is>
          <t>Chemical Peels</t>
        </is>
      </c>
      <c r="D20" s="51" t="inlineStr">
        <is>
          <t>None — injection trays / doctor room</t>
        </is>
      </c>
      <c r="E20" s="53" t="n">
        <v>10</v>
      </c>
      <c r="F20" s="53" t="n">
        <v>25</v>
      </c>
      <c r="G20" s="53" t="n">
        <v>0</v>
      </c>
      <c r="H20" s="54" t="n">
        <v>9.5</v>
      </c>
      <c r="I20" s="54" t="n">
        <v>4.11</v>
      </c>
      <c r="J20" s="54" t="n">
        <v>0</v>
      </c>
      <c r="K20" s="54" t="n">
        <v>8.75</v>
      </c>
      <c r="L20" s="55">
        <f>SUM(H20:K20)</f>
        <v/>
      </c>
    </row>
    <row r="21" ht="15" customHeight="1" s="42">
      <c r="A21" s="51" t="inlineStr">
        <is>
          <t>Jessner peel</t>
        </is>
      </c>
      <c r="B21" s="52" t="inlineStr">
        <is>
          <t>التقشير الكيميائي — محلول جيسنر</t>
        </is>
      </c>
      <c r="C21" s="51" t="inlineStr">
        <is>
          <t>Chemical Peels</t>
        </is>
      </c>
      <c r="D21" s="51" t="inlineStr">
        <is>
          <t>None — injection trays / doctor room</t>
        </is>
      </c>
      <c r="E21" s="53" t="n">
        <v>12</v>
      </c>
      <c r="F21" s="53" t="n">
        <v>25</v>
      </c>
      <c r="G21" s="53" t="n">
        <v>0</v>
      </c>
      <c r="H21" s="54" t="n">
        <v>13.5</v>
      </c>
      <c r="I21" s="54" t="n">
        <v>4.47</v>
      </c>
      <c r="J21" s="54" t="n">
        <v>0</v>
      </c>
      <c r="K21" s="54" t="n">
        <v>8.75</v>
      </c>
      <c r="L21" s="55">
        <f>SUM(H21:K21)</f>
        <v/>
      </c>
    </row>
    <row r="22" ht="15" customHeight="1" s="42">
      <c r="A22" s="51" t="inlineStr">
        <is>
          <t>TCA peel (medium-depth)</t>
        </is>
      </c>
      <c r="B22" s="52" t="inlineStr">
        <is>
          <t>التقشير الكيميائي متوسط العمق — حمض ثلاثي كلورو الأسيتيك</t>
        </is>
      </c>
      <c r="C22" s="51" t="inlineStr">
        <is>
          <t>Chemical Peels</t>
        </is>
      </c>
      <c r="D22" s="51" t="inlineStr">
        <is>
          <t>None — injection trays / doctor room</t>
        </is>
      </c>
      <c r="E22" s="53" t="n">
        <v>15</v>
      </c>
      <c r="F22" s="53" t="n">
        <v>30</v>
      </c>
      <c r="G22" s="53" t="n">
        <v>0</v>
      </c>
      <c r="H22" s="54" t="n">
        <v>15.5</v>
      </c>
      <c r="I22" s="54" t="n">
        <v>5.42</v>
      </c>
      <c r="J22" s="54" t="n">
        <v>0</v>
      </c>
      <c r="K22" s="54" t="n">
        <v>10.93</v>
      </c>
      <c r="L22" s="55">
        <f>SUM(H22:K22)</f>
        <v/>
      </c>
    </row>
    <row r="23" ht="15" customHeight="1" s="42">
      <c r="A23" s="51" t="inlineStr">
        <is>
          <t>Hair loss diagnosis &amp; plan</t>
        </is>
      </c>
      <c r="B23" s="52" t="inlineStr">
        <is>
          <t>تشخيص تساقط الشعر ووضع الخطة العلاجية</t>
        </is>
      </c>
      <c r="C23" s="51" t="inlineStr">
        <is>
          <t>Consultation</t>
        </is>
      </c>
      <c r="D23" s="51" t="inlineStr">
        <is>
          <t>None — injection trays / doctor room</t>
        </is>
      </c>
      <c r="E23" s="53" t="n">
        <v>25</v>
      </c>
      <c r="F23" s="53" t="n">
        <v>0</v>
      </c>
      <c r="G23" s="53" t="n">
        <v>0</v>
      </c>
      <c r="H23" s="54" t="n">
        <v>0.75</v>
      </c>
      <c r="I23" s="54" t="n">
        <v>4.84</v>
      </c>
      <c r="J23" s="54" t="n">
        <v>0</v>
      </c>
      <c r="K23" s="54" t="n">
        <v>6.56</v>
      </c>
      <c r="L23" s="55">
        <f>SUM(H23:K23)</f>
        <v/>
      </c>
    </row>
    <row r="24" ht="15" customHeight="1" s="42">
      <c r="A24" s="51" t="inlineStr">
        <is>
          <t>Fine lines around eyes — non-surgical</t>
        </is>
      </c>
      <c r="B24" s="52" t="inlineStr">
        <is>
          <t>علاج الخطوط الدقيقة — محيط العينين (غير جراحي)</t>
        </is>
      </c>
      <c r="C24" s="51" t="inlineStr">
        <is>
          <t>Eye Care</t>
        </is>
      </c>
      <c r="D24" s="51" t="inlineStr">
        <is>
          <t>None — injection trays / doctor room</t>
        </is>
      </c>
      <c r="E24" s="53" t="n">
        <v>5</v>
      </c>
      <c r="F24" s="53" t="n">
        <v>20</v>
      </c>
      <c r="G24" s="53" t="n">
        <v>0</v>
      </c>
      <c r="H24" s="54" t="n">
        <v>12.5</v>
      </c>
      <c r="I24" s="54" t="n">
        <v>2.79</v>
      </c>
      <c r="J24" s="54" t="n">
        <v>0</v>
      </c>
      <c r="K24" s="54" t="n">
        <v>6.56</v>
      </c>
      <c r="L24" s="55">
        <f>SUM(H24:K24)</f>
        <v/>
      </c>
    </row>
    <row r="25" ht="15" customHeight="1" s="42">
      <c r="A25" s="51" t="inlineStr">
        <is>
          <t>Hydro-lifting injections (Profhilo/Jalupro)</t>
        </is>
      </c>
      <c r="B25" s="52" t="inlineStr">
        <is>
          <t>حقن الترطيب العميق — بروفايلو / جالوبرو</t>
        </is>
      </c>
      <c r="C25" s="51" t="inlineStr">
        <is>
          <t>Hydration</t>
        </is>
      </c>
      <c r="D25" s="51" t="inlineStr">
        <is>
          <t>None — injection trays / doctor room</t>
        </is>
      </c>
      <c r="E25" s="53" t="n">
        <v>25</v>
      </c>
      <c r="F25" s="53" t="n">
        <v>10</v>
      </c>
      <c r="G25" s="53" t="n">
        <v>0</v>
      </c>
      <c r="H25" s="54" t="n">
        <v>80.5</v>
      </c>
      <c r="I25" s="54" t="n">
        <v>5.64</v>
      </c>
      <c r="J25" s="54" t="n">
        <v>0</v>
      </c>
      <c r="K25" s="54" t="n">
        <v>8.75</v>
      </c>
      <c r="L25" s="55">
        <f>SUM(H25:K25)</f>
        <v/>
      </c>
    </row>
    <row r="26" ht="15" customHeight="1" s="42">
      <c r="A26" s="51" t="inlineStr">
        <is>
          <t>Botox — facial wrinkles (20u session)</t>
        </is>
      </c>
      <c r="B26" s="52" t="inlineStr">
        <is>
          <t>حقن توكسين البوتولينوم (بوتوكس) — تجاعيد الوجه (20 وحدة)</t>
        </is>
      </c>
      <c r="C26" s="51" t="inlineStr">
        <is>
          <t>Injectables</t>
        </is>
      </c>
      <c r="D26" s="51" t="inlineStr">
        <is>
          <t>None — injection trays / doctor room</t>
        </is>
      </c>
      <c r="E26" s="53" t="n">
        <v>15</v>
      </c>
      <c r="F26" s="53" t="n">
        <v>5</v>
      </c>
      <c r="G26" s="53" t="n">
        <v>0</v>
      </c>
      <c r="H26" s="54" t="n">
        <v>13</v>
      </c>
      <c r="I26" s="54" t="n">
        <v>3.42</v>
      </c>
      <c r="J26" s="54" t="n">
        <v>0</v>
      </c>
      <c r="K26" s="54" t="n">
        <v>6.56</v>
      </c>
      <c r="L26" s="55">
        <f>SUM(H26:K26)</f>
        <v/>
      </c>
    </row>
    <row r="27" ht="15" customHeight="1" s="42">
      <c r="A27" s="51" t="inlineStr">
        <is>
          <t>Botox — hyperhidrosis underarms (100u)</t>
        </is>
      </c>
      <c r="B27" s="52" t="inlineStr">
        <is>
          <t>حقن البوتولينوم لعلاج فرط التعرق — الإبطان (100 وحدة)</t>
        </is>
      </c>
      <c r="C27" s="51" t="inlineStr">
        <is>
          <t>Injectables</t>
        </is>
      </c>
      <c r="D27" s="51" t="inlineStr">
        <is>
          <t>None — injection trays / doctor room</t>
        </is>
      </c>
      <c r="E27" s="53" t="n">
        <v>25</v>
      </c>
      <c r="F27" s="53" t="n">
        <v>10</v>
      </c>
      <c r="G27" s="53" t="n">
        <v>0</v>
      </c>
      <c r="H27" s="54" t="n">
        <v>57</v>
      </c>
      <c r="I27" s="54" t="n">
        <v>5.64</v>
      </c>
      <c r="J27" s="54" t="n">
        <v>0</v>
      </c>
      <c r="K27" s="54" t="n">
        <v>9.84</v>
      </c>
      <c r="L27" s="55">
        <f>SUM(H27:K27)</f>
        <v/>
      </c>
    </row>
    <row r="28" ht="15" customHeight="1" s="42">
      <c r="A28" s="51" t="inlineStr">
        <is>
          <t>Filler — cheeks (2ml)</t>
        </is>
      </c>
      <c r="B28" s="52" t="inlineStr">
        <is>
          <t>حقن الفيلر بحمض الهيالورونيك — الوجنتان (2 مل)</t>
        </is>
      </c>
      <c r="C28" s="51" t="inlineStr">
        <is>
          <t>Injectables</t>
        </is>
      </c>
      <c r="D28" s="51" t="inlineStr">
        <is>
          <t>None — injection trays / doctor room</t>
        </is>
      </c>
      <c r="E28" s="53" t="n">
        <v>30</v>
      </c>
      <c r="F28" s="53" t="n">
        <v>10</v>
      </c>
      <c r="G28" s="53" t="n">
        <v>0</v>
      </c>
      <c r="H28" s="54" t="n">
        <v>91.7</v>
      </c>
      <c r="I28" s="54" t="n">
        <v>6.55</v>
      </c>
      <c r="J28" s="54" t="n">
        <v>0</v>
      </c>
      <c r="K28" s="54" t="n">
        <v>10.93</v>
      </c>
      <c r="L28" s="55">
        <f>SUM(H28:K28)</f>
        <v/>
      </c>
    </row>
    <row r="29" ht="15" customHeight="1" s="42">
      <c r="A29" s="51" t="inlineStr">
        <is>
          <t>Filler — chin (1ml)</t>
        </is>
      </c>
      <c r="B29" s="52" t="inlineStr">
        <is>
          <t>حقن الفيلر بحمض الهيالورونيك — الذقن (1 مل)</t>
        </is>
      </c>
      <c r="C29" s="51" t="inlineStr">
        <is>
          <t>Injectables</t>
        </is>
      </c>
      <c r="D29" s="51" t="inlineStr">
        <is>
          <t>None — injection trays / doctor room</t>
        </is>
      </c>
      <c r="E29" s="53" t="n">
        <v>20</v>
      </c>
      <c r="F29" s="53" t="n">
        <v>10</v>
      </c>
      <c r="G29" s="53" t="n">
        <v>0</v>
      </c>
      <c r="H29" s="54" t="n">
        <v>46.7</v>
      </c>
      <c r="I29" s="54" t="n">
        <v>4.73</v>
      </c>
      <c r="J29" s="54" t="n">
        <v>0</v>
      </c>
      <c r="K29" s="54" t="n">
        <v>7.65</v>
      </c>
      <c r="L29" s="55">
        <f>SUM(H29:K29)</f>
        <v/>
      </c>
    </row>
    <row r="30" ht="15" customHeight="1" s="42">
      <c r="A30" s="51" t="inlineStr">
        <is>
          <t>Filler — jawline (2ml)</t>
        </is>
      </c>
      <c r="B30" s="52" t="inlineStr">
        <is>
          <t>حقن الفيلر بحمض الهيالورونيك — خط الفك السفلي (2 مل)</t>
        </is>
      </c>
      <c r="C30" s="51" t="inlineStr">
        <is>
          <t>Injectables</t>
        </is>
      </c>
      <c r="D30" s="51" t="inlineStr">
        <is>
          <t>None — injection trays / doctor room</t>
        </is>
      </c>
      <c r="E30" s="53" t="n">
        <v>30</v>
      </c>
      <c r="F30" s="53" t="n">
        <v>10</v>
      </c>
      <c r="G30" s="53" t="n">
        <v>0</v>
      </c>
      <c r="H30" s="54" t="n">
        <v>91.7</v>
      </c>
      <c r="I30" s="54" t="n">
        <v>6.55</v>
      </c>
      <c r="J30" s="54" t="n">
        <v>0</v>
      </c>
      <c r="K30" s="54" t="n">
        <v>10.93</v>
      </c>
      <c r="L30" s="55">
        <f>SUM(H30:K30)</f>
        <v/>
      </c>
    </row>
    <row r="31" ht="15" customHeight="1" s="42">
      <c r="A31" s="51" t="inlineStr">
        <is>
          <t>Filler — lips (1ml)</t>
        </is>
      </c>
      <c r="B31" s="52" t="inlineStr">
        <is>
          <t>حقن الفيلر بحمض الهيالورونيك — الشفتان (1 مل)</t>
        </is>
      </c>
      <c r="C31" s="51" t="inlineStr">
        <is>
          <t>Injectables</t>
        </is>
      </c>
      <c r="D31" s="51" t="inlineStr">
        <is>
          <t>None — injection trays / doctor room</t>
        </is>
      </c>
      <c r="E31" s="53" t="n">
        <v>25</v>
      </c>
      <c r="F31" s="53" t="n">
        <v>10</v>
      </c>
      <c r="G31" s="53" t="n">
        <v>0</v>
      </c>
      <c r="H31" s="54" t="n">
        <v>48.2</v>
      </c>
      <c r="I31" s="54" t="n">
        <v>5.64</v>
      </c>
      <c r="J31" s="54" t="n">
        <v>0</v>
      </c>
      <c r="K31" s="54" t="n">
        <v>8.75</v>
      </c>
      <c r="L31" s="55">
        <f>SUM(H31:K31)</f>
        <v/>
      </c>
    </row>
    <row r="32" ht="15" customHeight="1" s="42">
      <c r="A32" s="51" t="inlineStr">
        <is>
          <t>Filler — nasolabial (1ml)</t>
        </is>
      </c>
      <c r="B32" s="52" t="inlineStr">
        <is>
          <t>حقن الفيلر — الطيات الأنفية الشفوية (1 مل)</t>
        </is>
      </c>
      <c r="C32" s="51" t="inlineStr">
        <is>
          <t>Injectables</t>
        </is>
      </c>
      <c r="D32" s="51" t="inlineStr">
        <is>
          <t>None — injection trays / doctor room</t>
        </is>
      </c>
      <c r="E32" s="53" t="n">
        <v>20</v>
      </c>
      <c r="F32" s="53" t="n">
        <v>10</v>
      </c>
      <c r="G32" s="53" t="n">
        <v>0</v>
      </c>
      <c r="H32" s="54" t="n">
        <v>46.7</v>
      </c>
      <c r="I32" s="54" t="n">
        <v>4.73</v>
      </c>
      <c r="J32" s="54" t="n">
        <v>0</v>
      </c>
      <c r="K32" s="54" t="n">
        <v>7.65</v>
      </c>
      <c r="L32" s="55">
        <f>SUM(H32:K32)</f>
        <v/>
      </c>
    </row>
    <row r="33" ht="15" customHeight="1" s="42">
      <c r="A33" s="51" t="inlineStr">
        <is>
          <t>Filler — tear trough (1ml)</t>
        </is>
      </c>
      <c r="B33" s="52" t="inlineStr">
        <is>
          <t>حقن الفيلر — أخدود الدمع (1 مل)</t>
        </is>
      </c>
      <c r="C33" s="51" t="inlineStr">
        <is>
          <t>Injectables</t>
        </is>
      </c>
      <c r="D33" s="51" t="inlineStr">
        <is>
          <t>None — injection trays / doctor room</t>
        </is>
      </c>
      <c r="E33" s="53" t="n">
        <v>30</v>
      </c>
      <c r="F33" s="53" t="n">
        <v>10</v>
      </c>
      <c r="G33" s="53" t="n">
        <v>0</v>
      </c>
      <c r="H33" s="54" t="n">
        <v>46.7</v>
      </c>
      <c r="I33" s="54" t="n">
        <v>6.55</v>
      </c>
      <c r="J33" s="54" t="n">
        <v>0</v>
      </c>
      <c r="K33" s="54" t="n">
        <v>9.84</v>
      </c>
      <c r="L33" s="55">
        <f>SUM(H33:K33)</f>
        <v/>
      </c>
    </row>
    <row r="34" ht="15" customHeight="1" s="42">
      <c r="A34" s="51" t="inlineStr">
        <is>
          <t>Nefertiti lift (Botox 25u)</t>
        </is>
      </c>
      <c r="B34" s="52" t="inlineStr">
        <is>
          <t>رفعة نفرتيتي — بوتوكس خط الفك والرقبة (25 وحدة)</t>
        </is>
      </c>
      <c r="C34" s="51" t="inlineStr">
        <is>
          <t>Injectables</t>
        </is>
      </c>
      <c r="D34" s="51" t="inlineStr">
        <is>
          <t>None — injection trays / doctor room</t>
        </is>
      </c>
      <c r="E34" s="53" t="n">
        <v>20</v>
      </c>
      <c r="F34" s="53" t="n">
        <v>10</v>
      </c>
      <c r="G34" s="53" t="n">
        <v>0</v>
      </c>
      <c r="H34" s="54" t="n">
        <v>13.75</v>
      </c>
      <c r="I34" s="54" t="n">
        <v>4.73</v>
      </c>
      <c r="J34" s="54" t="n">
        <v>0</v>
      </c>
      <c r="K34" s="54" t="n">
        <v>7.65</v>
      </c>
      <c r="L34" s="55">
        <f>SUM(H34:K34)</f>
        <v/>
      </c>
    </row>
    <row r="35" ht="15" customHeight="1" s="42">
      <c r="A35" s="51" t="inlineStr">
        <is>
          <t>Body filler — buttocks (single session, 10ml)</t>
        </is>
      </c>
      <c r="B35" s="52" t="inlineStr">
        <is>
          <t>حقن فيلر الجسم — الأرداف (جلسة، 10 مل)</t>
        </is>
      </c>
      <c r="C35" s="51" t="inlineStr">
        <is>
          <t>Injectables — Body</t>
        </is>
      </c>
      <c r="D35" s="51" t="inlineStr">
        <is>
          <t>None — injection trays / doctor room</t>
        </is>
      </c>
      <c r="E35" s="53" t="n">
        <v>30</v>
      </c>
      <c r="F35" s="53" t="n">
        <v>25</v>
      </c>
      <c r="G35" s="53" t="n">
        <v>0</v>
      </c>
      <c r="H35" s="54" t="n">
        <v>451</v>
      </c>
      <c r="I35" s="54" t="n">
        <v>8.029999999999999</v>
      </c>
      <c r="J35" s="54" t="n">
        <v>0</v>
      </c>
      <c r="K35" s="54" t="n">
        <v>16.4</v>
      </c>
      <c r="L35" s="55">
        <f>SUM(H35:K35)</f>
        <v/>
      </c>
    </row>
    <row r="36" ht="15" customHeight="1" s="42">
      <c r="A36" s="51" t="inlineStr">
        <is>
          <t>Freckles / sun-spot laser</t>
        </is>
      </c>
      <c r="B36" s="52" t="inlineStr">
        <is>
          <t>ليزر علاج النمش والبقع الشمسية</t>
        </is>
      </c>
      <c r="C36" s="51" t="inlineStr">
        <is>
          <t>Laser — Pigmentation</t>
        </is>
      </c>
      <c r="D36" s="51" t="inlineStr">
        <is>
          <t>Lutronic Hollywood Spectra (Q-Switch)</t>
        </is>
      </c>
      <c r="E36" s="53" t="n">
        <v>10</v>
      </c>
      <c r="F36" s="53" t="n">
        <v>15</v>
      </c>
      <c r="G36" s="53" t="n">
        <v>0</v>
      </c>
      <c r="H36" s="54" t="n">
        <v>4</v>
      </c>
      <c r="I36" s="54" t="n">
        <v>3.31</v>
      </c>
      <c r="J36" s="54" t="n">
        <v>3.2</v>
      </c>
      <c r="K36" s="54" t="n">
        <v>6.56</v>
      </c>
      <c r="L36" s="55">
        <f>SUM(H36:K36)</f>
        <v/>
      </c>
    </row>
    <row r="37" ht="15" customHeight="1" s="42">
      <c r="A37" s="51" t="inlineStr">
        <is>
          <t>Melasma / pigmentation laser — Hollywood Spectra session</t>
        </is>
      </c>
      <c r="B37" s="52" t="inlineStr">
        <is>
          <t>ليزر علاج الكلف وفرط التصبغ — هوليوود سبيكترا (جلسة)</t>
        </is>
      </c>
      <c r="C37" s="51" t="inlineStr">
        <is>
          <t>Laser — Pigmentation</t>
        </is>
      </c>
      <c r="D37" s="51" t="inlineStr">
        <is>
          <t>Lutronic Hollywood Spectra (Q-Switch)</t>
        </is>
      </c>
      <c r="E37" s="53" t="n">
        <v>10</v>
      </c>
      <c r="F37" s="53" t="n">
        <v>20</v>
      </c>
      <c r="G37" s="53" t="n">
        <v>0</v>
      </c>
      <c r="H37" s="54" t="n">
        <v>4</v>
      </c>
      <c r="I37" s="54" t="n">
        <v>3.71</v>
      </c>
      <c r="J37" s="54" t="n">
        <v>3.2</v>
      </c>
      <c r="K37" s="54" t="n">
        <v>8.75</v>
      </c>
      <c r="L37" s="55">
        <f>SUM(H37:K37)</f>
        <v/>
      </c>
    </row>
    <row r="38" ht="15" customHeight="1" s="42">
      <c r="A38" s="51" t="inlineStr">
        <is>
          <t>Enlarged pores treatment (Hollywood Spectra / Genius)</t>
        </is>
      </c>
      <c r="B38" s="52" t="inlineStr">
        <is>
          <t>علاج المسام المتوسعة بالليزر</t>
        </is>
      </c>
      <c r="C38" s="51" t="inlineStr">
        <is>
          <t>Laser — Pores</t>
        </is>
      </c>
      <c r="D38" s="51" t="inlineStr">
        <is>
          <t>Lutronic Hollywood Spectra (Q-Switch)</t>
        </is>
      </c>
      <c r="E38" s="53" t="n">
        <v>10</v>
      </c>
      <c r="F38" s="53" t="n">
        <v>25</v>
      </c>
      <c r="G38" s="53" t="n">
        <v>0</v>
      </c>
      <c r="H38" s="54" t="n">
        <v>4</v>
      </c>
      <c r="I38" s="54" t="n">
        <v>4.11</v>
      </c>
      <c r="J38" s="54" t="n">
        <v>3.2</v>
      </c>
      <c r="K38" s="54" t="n">
        <v>8.75</v>
      </c>
      <c r="L38" s="55">
        <f>SUM(H38:K38)</f>
        <v/>
      </c>
    </row>
    <row r="39" ht="15" customHeight="1" s="42">
      <c r="A39" s="51" t="inlineStr">
        <is>
          <t>Acne scar / scar laser — Genius RF session</t>
        </is>
      </c>
      <c r="B39" s="52" t="inlineStr">
        <is>
          <t>علاج ندبات حب الشباب — الترددات الراديوية الإبرية (جينيوس، جلسة)</t>
        </is>
      </c>
      <c r="C39" s="51" t="inlineStr">
        <is>
          <t>Laser — Scars</t>
        </is>
      </c>
      <c r="D39" s="51" t="inlineStr">
        <is>
          <t>Lutronic Genius (RF Microneedling)</t>
        </is>
      </c>
      <c r="E39" s="53" t="n">
        <v>15</v>
      </c>
      <c r="F39" s="53" t="n">
        <v>30</v>
      </c>
      <c r="G39" s="53" t="n">
        <v>0</v>
      </c>
      <c r="H39" s="54" t="n">
        <v>4</v>
      </c>
      <c r="I39" s="54" t="n">
        <v>5.42</v>
      </c>
      <c r="J39" s="54" t="n">
        <v>4.5</v>
      </c>
      <c r="K39" s="54" t="n">
        <v>12.03</v>
      </c>
      <c r="L39" s="55">
        <f>SUM(H39:K39)</f>
        <v/>
      </c>
    </row>
    <row r="40" ht="15" customHeight="1" s="42">
      <c r="A40" s="51" t="inlineStr">
        <is>
          <t>Surgical scar revision laser</t>
        </is>
      </c>
      <c r="B40" s="52" t="inlineStr">
        <is>
          <t>علاج الندبات الجراحية بالليزر</t>
        </is>
      </c>
      <c r="C40" s="51" t="inlineStr">
        <is>
          <t>Laser — Scars</t>
        </is>
      </c>
      <c r="D40" s="51" t="inlineStr">
        <is>
          <t>Lutronic Genius (RF Microneedling)</t>
        </is>
      </c>
      <c r="E40" s="53" t="n">
        <v>15</v>
      </c>
      <c r="F40" s="53" t="n">
        <v>30</v>
      </c>
      <c r="G40" s="53" t="n">
        <v>0</v>
      </c>
      <c r="H40" s="54" t="n">
        <v>4</v>
      </c>
      <c r="I40" s="54" t="n">
        <v>5.42</v>
      </c>
      <c r="J40" s="54" t="n">
        <v>4.5</v>
      </c>
      <c r="K40" s="54" t="n">
        <v>12.03</v>
      </c>
      <c r="L40" s="55">
        <f>SUM(H40:K40)</f>
        <v/>
      </c>
    </row>
    <row r="41" ht="15" customHeight="1" s="42">
      <c r="A41" s="51" t="inlineStr">
        <is>
          <t>Genital wart removal (per lesion)</t>
        </is>
      </c>
      <c r="B41" s="52" t="inlineStr">
        <is>
          <t>إزالة الثآليل التناسلية (للآفة الواحدة)</t>
        </is>
      </c>
      <c r="C41" s="51" t="inlineStr">
        <is>
          <t>Minor Surgery</t>
        </is>
      </c>
      <c r="D41" s="51" t="inlineStr">
        <is>
          <t>Minor surgical kit (cautery/cryo)</t>
        </is>
      </c>
      <c r="E41" s="53" t="n">
        <v>25</v>
      </c>
      <c r="F41" s="53" t="n">
        <v>20</v>
      </c>
      <c r="G41" s="53" t="n">
        <v>0</v>
      </c>
      <c r="H41" s="54" t="n">
        <v>4.5</v>
      </c>
      <c r="I41" s="54" t="n">
        <v>6.44</v>
      </c>
      <c r="J41" s="54" t="n">
        <v>0.12</v>
      </c>
      <c r="K41" s="54" t="n">
        <v>9.84</v>
      </c>
      <c r="L41" s="55">
        <f>SUM(H41:K41)</f>
        <v/>
      </c>
    </row>
    <row r="42" ht="15" customHeight="1" s="42">
      <c r="A42" s="51" t="inlineStr">
        <is>
          <t>Skin tag / wart removal (per lesion, small)</t>
        </is>
      </c>
      <c r="B42" s="52" t="inlineStr">
        <is>
          <t>إزالة الزوائد الجلدية / الثآليل — كي كهربائي (للآفة الصغيرة)</t>
        </is>
      </c>
      <c r="C42" s="51" t="inlineStr">
        <is>
          <t>Minor Surgery</t>
        </is>
      </c>
      <c r="D42" s="51" t="inlineStr">
        <is>
          <t>Minor surgical kit (cautery/cryo)</t>
        </is>
      </c>
      <c r="E42" s="53" t="n">
        <v>15</v>
      </c>
      <c r="F42" s="53" t="n">
        <v>15</v>
      </c>
      <c r="G42" s="53" t="n">
        <v>0</v>
      </c>
      <c r="H42" s="54" t="n">
        <v>5.5</v>
      </c>
      <c r="I42" s="54" t="n">
        <v>4.22</v>
      </c>
      <c r="J42" s="54" t="n">
        <v>0.12</v>
      </c>
      <c r="K42" s="54" t="n">
        <v>6.56</v>
      </c>
      <c r="L42" s="55">
        <f>SUM(H42:K42)</f>
        <v/>
      </c>
    </row>
    <row r="43" ht="15" customHeight="1" s="42">
      <c r="A43" s="51" t="inlineStr">
        <is>
          <t>Exosome therapy — face / hair</t>
        </is>
      </c>
      <c r="B43" s="52" t="inlineStr">
        <is>
          <t>العلاج بالإكسوسومات — الوجه / الشعر</t>
        </is>
      </c>
      <c r="C43" s="51" t="inlineStr">
        <is>
          <t>PRP / Plasma</t>
        </is>
      </c>
      <c r="D43" s="51" t="inlineStr">
        <is>
          <t>None — injection trays / doctor room</t>
        </is>
      </c>
      <c r="E43" s="53" t="n">
        <v>15</v>
      </c>
      <c r="F43" s="53" t="n">
        <v>20</v>
      </c>
      <c r="G43" s="53" t="n">
        <v>0</v>
      </c>
      <c r="H43" s="54" t="n">
        <v>48</v>
      </c>
      <c r="I43" s="54" t="n">
        <v>4.62</v>
      </c>
      <c r="J43" s="54" t="n">
        <v>0</v>
      </c>
      <c r="K43" s="54" t="n">
        <v>8.75</v>
      </c>
      <c r="L43" s="55">
        <f>SUM(H43:K43)</f>
        <v/>
      </c>
    </row>
    <row r="44" ht="15" customHeight="1" s="42">
      <c r="A44" s="51" t="inlineStr">
        <is>
          <t>Golden plasma — face + neck (premium PRP)</t>
        </is>
      </c>
      <c r="B44" s="52" t="inlineStr">
        <is>
          <t>البلازما الذهبية — الوجه والرقبة (بلازما فائقة)</t>
        </is>
      </c>
      <c r="C44" s="51" t="inlineStr">
        <is>
          <t>PRP / Plasma</t>
        </is>
      </c>
      <c r="D44" s="51" t="inlineStr">
        <is>
          <t>None — injection trays / doctor room</t>
        </is>
      </c>
      <c r="E44" s="53" t="n">
        <v>15</v>
      </c>
      <c r="F44" s="53" t="n">
        <v>35</v>
      </c>
      <c r="G44" s="53" t="n">
        <v>0</v>
      </c>
      <c r="H44" s="54" t="n">
        <v>19.5</v>
      </c>
      <c r="I44" s="54" t="n">
        <v>5.82</v>
      </c>
      <c r="J44" s="54" t="n">
        <v>0</v>
      </c>
      <c r="K44" s="54" t="n">
        <v>12.03</v>
      </c>
      <c r="L44" s="55">
        <f>SUM(H44:K44)</f>
        <v/>
      </c>
    </row>
    <row r="45" ht="15" customHeight="1" s="42">
      <c r="A45" s="51" t="inlineStr">
        <is>
          <t>Mesotherapy face cocktail</t>
        </is>
      </c>
      <c r="B45" s="52" t="inlineStr">
        <is>
          <t>الميزوثيرابي — كوكتيل الفيتامينات للوجه</t>
        </is>
      </c>
      <c r="C45" s="51" t="inlineStr">
        <is>
          <t>PRP / Plasma</t>
        </is>
      </c>
      <c r="D45" s="51" t="inlineStr">
        <is>
          <t>None — injection trays / doctor room</t>
        </is>
      </c>
      <c r="E45" s="53" t="n">
        <v>10</v>
      </c>
      <c r="F45" s="53" t="n">
        <v>25</v>
      </c>
      <c r="G45" s="53" t="n">
        <v>0</v>
      </c>
      <c r="H45" s="54" t="n">
        <v>13.5</v>
      </c>
      <c r="I45" s="54" t="n">
        <v>4.11</v>
      </c>
      <c r="J45" s="54" t="n">
        <v>0</v>
      </c>
      <c r="K45" s="54" t="n">
        <v>8.75</v>
      </c>
      <c r="L45" s="55">
        <f>SUM(H45:K45)</f>
        <v/>
      </c>
    </row>
    <row r="46" ht="15" customHeight="1" s="42">
      <c r="A46" s="51" t="inlineStr">
        <is>
          <t>PRP face injection</t>
        </is>
      </c>
      <c r="B46" s="52" t="inlineStr">
        <is>
          <t>حقن البلازما الغنية بالصفائح الدموية — الوجه</t>
        </is>
      </c>
      <c r="C46" s="51" t="inlineStr">
        <is>
          <t>PRP / Plasma</t>
        </is>
      </c>
      <c r="D46" s="51" t="inlineStr">
        <is>
          <t>None — injection trays / doctor room</t>
        </is>
      </c>
      <c r="E46" s="53" t="n">
        <v>15</v>
      </c>
      <c r="F46" s="53" t="n">
        <v>25</v>
      </c>
      <c r="G46" s="53" t="n">
        <v>0</v>
      </c>
      <c r="H46" s="54" t="n">
        <v>14</v>
      </c>
      <c r="I46" s="54" t="n">
        <v>5.02</v>
      </c>
      <c r="J46" s="54" t="n">
        <v>0</v>
      </c>
      <c r="K46" s="54" t="n">
        <v>9.84</v>
      </c>
      <c r="L46" s="55">
        <f>SUM(H46:K46)</f>
        <v/>
      </c>
    </row>
    <row r="47" ht="15" customHeight="1" s="42">
      <c r="A47" s="51" t="inlineStr">
        <is>
          <t>PRP hair scalp</t>
        </is>
      </c>
      <c r="B47" s="52" t="inlineStr">
        <is>
          <t>حقن البلازما الغنية بالصفائح الدموية — فروة الرأس</t>
        </is>
      </c>
      <c r="C47" s="51" t="inlineStr">
        <is>
          <t>PRP / Plasma</t>
        </is>
      </c>
      <c r="D47" s="51" t="inlineStr">
        <is>
          <t>None — injection trays / doctor room</t>
        </is>
      </c>
      <c r="E47" s="53" t="n">
        <v>15</v>
      </c>
      <c r="F47" s="53" t="n">
        <v>25</v>
      </c>
      <c r="G47" s="53" t="n">
        <v>0</v>
      </c>
      <c r="H47" s="54" t="n">
        <v>14</v>
      </c>
      <c r="I47" s="54" t="n">
        <v>5.02</v>
      </c>
      <c r="J47" s="54" t="n">
        <v>0</v>
      </c>
      <c r="K47" s="54" t="n">
        <v>9.84</v>
      </c>
      <c r="L47" s="55">
        <f>SUM(H47:K47)</f>
        <v/>
      </c>
    </row>
    <row r="48" ht="15" customHeight="1" s="42">
      <c r="A48" s="51" t="inlineStr">
        <is>
          <t>Stem Cell-Rich Plasma (premium PRP)</t>
        </is>
      </c>
      <c r="B48" s="52" t="inlineStr">
        <is>
          <t>البلازما الغنية بالخلايا الجذعية (الفئة الفائقة)</t>
        </is>
      </c>
      <c r="C48" s="51" t="inlineStr">
        <is>
          <t>PRP / Plasma</t>
        </is>
      </c>
      <c r="D48" s="51" t="inlineStr">
        <is>
          <t>None — injection trays / doctor room</t>
        </is>
      </c>
      <c r="E48" s="53" t="n">
        <v>20</v>
      </c>
      <c r="F48" s="53" t="n">
        <v>30</v>
      </c>
      <c r="G48" s="53" t="n">
        <v>0</v>
      </c>
      <c r="H48" s="54" t="n">
        <v>86.5</v>
      </c>
      <c r="I48" s="54" t="n">
        <v>6.33</v>
      </c>
      <c r="J48" s="54" t="n">
        <v>0</v>
      </c>
      <c r="K48" s="54" t="n">
        <v>12.03</v>
      </c>
      <c r="L48" s="55">
        <f>SUM(H48:K48)</f>
        <v/>
      </c>
    </row>
    <row r="49" ht="15" customHeight="1" s="42">
      <c r="A49" s="51" t="inlineStr">
        <is>
          <t>Therapeutic plasma — surgical scars</t>
        </is>
      </c>
      <c r="B49" s="52" t="inlineStr">
        <is>
          <t>البلازما العلاجية — الندبات الجراحية</t>
        </is>
      </c>
      <c r="C49" s="51" t="inlineStr">
        <is>
          <t>PRP / Plasma</t>
        </is>
      </c>
      <c r="D49" s="51" t="inlineStr">
        <is>
          <t>None — injection trays / doctor room</t>
        </is>
      </c>
      <c r="E49" s="53" t="n">
        <v>15</v>
      </c>
      <c r="F49" s="53" t="n">
        <v>25</v>
      </c>
      <c r="G49" s="53" t="n">
        <v>0</v>
      </c>
      <c r="H49" s="54" t="n">
        <v>13.5</v>
      </c>
      <c r="I49" s="54" t="n">
        <v>5.02</v>
      </c>
      <c r="J49" s="54" t="n">
        <v>0</v>
      </c>
      <c r="K49" s="54" t="n">
        <v>9.84</v>
      </c>
      <c r="L49" s="55">
        <f>SUM(H49:K49)</f>
        <v/>
      </c>
    </row>
    <row r="50" ht="15" customHeight="1" s="42">
      <c r="A50" s="51" t="inlineStr">
        <is>
          <t>Pitted scars (subcision + filler)</t>
        </is>
      </c>
      <c r="B50" s="52" t="inlineStr">
        <is>
          <t>علاج الندبات الغائرة — تحرير الندبة + فيلر</t>
        </is>
      </c>
      <c r="C50" s="51" t="inlineStr">
        <is>
          <t>Scar Repair</t>
        </is>
      </c>
      <c r="D50" s="51" t="inlineStr">
        <is>
          <t>None — injection trays / doctor room</t>
        </is>
      </c>
      <c r="E50" s="53" t="n">
        <v>30</v>
      </c>
      <c r="F50" s="53" t="n">
        <v>20</v>
      </c>
      <c r="G50" s="53" t="n">
        <v>0</v>
      </c>
      <c r="H50" s="54" t="n">
        <v>26</v>
      </c>
      <c r="I50" s="54" t="n">
        <v>7.35</v>
      </c>
      <c r="J50" s="54" t="n">
        <v>0</v>
      </c>
      <c r="K50" s="54" t="n">
        <v>12.03</v>
      </c>
      <c r="L50" s="55">
        <f>SUM(H50:K50)</f>
        <v/>
      </c>
    </row>
    <row r="51" ht="15" customHeight="1" s="42">
      <c r="A51" s="51" t="inlineStr">
        <is>
          <t>Scar repair / restoration (combined)</t>
        </is>
      </c>
      <c r="B51" s="52" t="inlineStr">
        <is>
          <t>ترميم الندبات — بروتوكول مدمج (ترددات + بلازما)</t>
        </is>
      </c>
      <c r="C51" s="51" t="inlineStr">
        <is>
          <t>Scar Repair</t>
        </is>
      </c>
      <c r="D51" s="51" t="inlineStr">
        <is>
          <t>Lutronic Genius (RF Microneedling)</t>
        </is>
      </c>
      <c r="E51" s="53" t="n">
        <v>20</v>
      </c>
      <c r="F51" s="53" t="n">
        <v>30</v>
      </c>
      <c r="G51" s="53" t="n">
        <v>0</v>
      </c>
      <c r="H51" s="54" t="n">
        <v>13.5</v>
      </c>
      <c r="I51" s="54" t="n">
        <v>6.33</v>
      </c>
      <c r="J51" s="54" t="n">
        <v>4.5</v>
      </c>
      <c r="K51" s="54" t="n">
        <v>12.03</v>
      </c>
      <c r="L51" s="55">
        <f>SUM(H51:K51)</f>
        <v/>
      </c>
    </row>
    <row r="52" ht="15" customHeight="1" s="42">
      <c r="A52" s="51" t="inlineStr">
        <is>
          <t>Subcision (deep scars) session</t>
        </is>
      </c>
      <c r="B52" s="52" t="inlineStr">
        <is>
          <t>التحرير الجراحي للندبات العميقة (سبسيجن) — جلسة</t>
        </is>
      </c>
      <c r="C52" s="51" t="inlineStr">
        <is>
          <t>Scar Repair</t>
        </is>
      </c>
      <c r="D52" s="51" t="inlineStr">
        <is>
          <t>None — injection trays / doctor room</t>
        </is>
      </c>
      <c r="E52" s="53" t="n">
        <v>25</v>
      </c>
      <c r="F52" s="53" t="n">
        <v>15</v>
      </c>
      <c r="G52" s="53" t="n">
        <v>0</v>
      </c>
      <c r="H52" s="54" t="n">
        <v>5</v>
      </c>
      <c r="I52" s="54" t="n">
        <v>6.04</v>
      </c>
      <c r="J52" s="54" t="n">
        <v>0</v>
      </c>
      <c r="K52" s="54" t="n">
        <v>9.84</v>
      </c>
      <c r="L52" s="55">
        <f>SUM(H52:K52)</f>
        <v/>
      </c>
    </row>
    <row r="53" ht="15" customHeight="1" s="42">
      <c r="A53" s="51" t="inlineStr">
        <is>
          <t>COSMELAN depigmentation (full protocol)</t>
        </is>
      </c>
      <c r="B53" s="52" t="inlineStr">
        <is>
          <t>بروتوكول كوزميلان لعلاج فرط التصبغ (بروتوكول كامل)</t>
        </is>
      </c>
      <c r="C53" s="51" t="inlineStr">
        <is>
          <t>Skin Resurfacing</t>
        </is>
      </c>
      <c r="D53" s="51" t="inlineStr">
        <is>
          <t>None — injection trays / doctor room</t>
        </is>
      </c>
      <c r="E53" s="53" t="n">
        <v>20</v>
      </c>
      <c r="F53" s="53" t="n">
        <v>30</v>
      </c>
      <c r="G53" s="53" t="n">
        <v>0</v>
      </c>
      <c r="H53" s="54" t="n">
        <v>71.5</v>
      </c>
      <c r="I53" s="54" t="n">
        <v>6.61</v>
      </c>
      <c r="J53" s="54" t="n">
        <v>0</v>
      </c>
      <c r="K53" s="54" t="n">
        <v>16.4</v>
      </c>
      <c r="L53" s="55">
        <f>SUM(H53:K53)</f>
        <v/>
      </c>
    </row>
    <row r="54" ht="15" customHeight="1" s="42">
      <c r="A54" s="51" t="inlineStr">
        <is>
          <t>COG thread lift (full face)</t>
        </is>
      </c>
      <c r="B54" s="52" t="inlineStr">
        <is>
          <t>شد الوجه بالخيوط الذائبة المسننة (كوج) — وجه كامل</t>
        </is>
      </c>
      <c r="C54" s="51" t="inlineStr">
        <is>
          <t>Skin Tightening</t>
        </is>
      </c>
      <c r="D54" s="51" t="inlineStr">
        <is>
          <t>None — injection trays / doctor room</t>
        </is>
      </c>
      <c r="E54" s="53" t="n">
        <v>60</v>
      </c>
      <c r="F54" s="53" t="n">
        <v>20</v>
      </c>
      <c r="G54" s="53" t="n">
        <v>0</v>
      </c>
      <c r="H54" s="54" t="n">
        <v>224.5</v>
      </c>
      <c r="I54" s="54" t="n">
        <v>12.82</v>
      </c>
      <c r="J54" s="54" t="n">
        <v>0</v>
      </c>
      <c r="K54" s="54" t="n">
        <v>18.59</v>
      </c>
      <c r="L54" s="55">
        <f>SUM(H54:K54)</f>
        <v/>
      </c>
    </row>
    <row r="55" ht="15" customHeight="1" s="42">
      <c r="A55" s="51" t="inlineStr">
        <is>
          <t>HIFU / RF face lift (full face)</t>
        </is>
      </c>
      <c r="B55" s="52" t="inlineStr">
        <is>
          <t>شد الوجه بالموجات فوق الصوتية المركزة (هايفو) / الترددات الراديوية — وجه كامل</t>
        </is>
      </c>
      <c r="C55" s="51" t="inlineStr">
        <is>
          <t>Skin Tightening</t>
        </is>
      </c>
      <c r="D55" s="51" t="inlineStr">
        <is>
          <t>XERF RF + HIFU kit</t>
        </is>
      </c>
      <c r="E55" s="53" t="n">
        <v>10</v>
      </c>
      <c r="F55" s="53" t="n">
        <v>50</v>
      </c>
      <c r="G55" s="53" t="n">
        <v>0</v>
      </c>
      <c r="H55" s="54" t="n">
        <v>36.5</v>
      </c>
      <c r="I55" s="54" t="n">
        <v>6.11</v>
      </c>
      <c r="J55" s="54" t="n">
        <v>9.67</v>
      </c>
      <c r="K55" s="54" t="n">
        <v>15.31</v>
      </c>
      <c r="L55" s="55">
        <f>SUM(H55:K55)</f>
        <v/>
      </c>
    </row>
    <row r="56" ht="15" customHeight="1" s="42">
      <c r="A56" s="51" t="inlineStr">
        <is>
          <t>PDO thread lift (mono x 20)</t>
        </is>
      </c>
      <c r="B56" s="52" t="inlineStr">
        <is>
          <t>شد الوجه بالخيوط الذائبة — مونو (20 خيطًا)</t>
        </is>
      </c>
      <c r="C56" s="51" t="inlineStr">
        <is>
          <t>Skin Tightening</t>
        </is>
      </c>
      <c r="D56" s="51" t="inlineStr">
        <is>
          <t>None — injection trays / doctor room</t>
        </is>
      </c>
      <c r="E56" s="53" t="n">
        <v>45</v>
      </c>
      <c r="F56" s="53" t="n">
        <v>15</v>
      </c>
      <c r="G56" s="53" t="n">
        <v>0</v>
      </c>
      <c r="H56" s="54" t="n">
        <v>69.5</v>
      </c>
      <c r="I56" s="54" t="n">
        <v>9.69</v>
      </c>
      <c r="J56" s="54" t="n">
        <v>0</v>
      </c>
      <c r="K56" s="54" t="n">
        <v>14.21</v>
      </c>
      <c r="L56" s="55">
        <f>SUM(H56:K56)</f>
        <v/>
      </c>
    </row>
    <row r="57" ht="15" customHeight="1" s="42">
      <c r="A57" s="51" t="inlineStr">
        <is>
          <t>Thread lift (PDO/COG face course session)</t>
        </is>
      </c>
      <c r="B57" s="52" t="inlineStr">
        <is>
          <t>شد الوجه بالخيوط الذائبة — جلسة ضمن كورس (مونو / كوج)</t>
        </is>
      </c>
      <c r="C57" s="51" t="inlineStr">
        <is>
          <t>Skin Tightening</t>
        </is>
      </c>
      <c r="D57" s="51" t="inlineStr">
        <is>
          <t>None — injection trays / doctor room</t>
        </is>
      </c>
      <c r="E57" s="53" t="n">
        <v>60</v>
      </c>
      <c r="F57" s="53" t="n">
        <v>20</v>
      </c>
      <c r="G57" s="53" t="n">
        <v>0</v>
      </c>
      <c r="H57" s="54" t="n">
        <v>65.5</v>
      </c>
      <c r="I57" s="54" t="n">
        <v>12.82</v>
      </c>
      <c r="J57" s="54" t="n">
        <v>0</v>
      </c>
      <c r="K57" s="54" t="n">
        <v>18.59</v>
      </c>
      <c r="L57" s="55">
        <f>SUM(H57:K57)</f>
        <v/>
      </c>
    </row>
    <row r="58" ht="15" customHeight="1" s="42">
      <c r="A58" s="51" t="inlineStr">
        <is>
          <t>Rosacea treatment (IPL/Hollywood Spectra session)</t>
        </is>
      </c>
      <c r="B58" s="52" t="inlineStr">
        <is>
          <t>علاج الوردية بالليزر الوعائي (جلسة)</t>
        </is>
      </c>
      <c r="C58" s="51" t="inlineStr">
        <is>
          <t>Vascular</t>
        </is>
      </c>
      <c r="D58" s="51" t="inlineStr">
        <is>
          <t>Lutronic Hollywood Spectra (Q-Switch)</t>
        </is>
      </c>
      <c r="E58" s="53" t="n">
        <v>10</v>
      </c>
      <c r="F58" s="53" t="n">
        <v>20</v>
      </c>
      <c r="G58" s="53" t="n">
        <v>0</v>
      </c>
      <c r="H58" s="54" t="n">
        <v>2.5</v>
      </c>
      <c r="I58" s="54" t="n">
        <v>3.71</v>
      </c>
      <c r="J58" s="54" t="n">
        <v>3.2</v>
      </c>
      <c r="K58" s="54" t="n">
        <v>7.65</v>
      </c>
      <c r="L58" s="55">
        <f>SUM(H58:K58)</f>
        <v/>
      </c>
    </row>
    <row r="59" ht="15" customHeight="1" s="42">
      <c r="A59" s="56" t="inlineStr">
        <is>
          <t>Subtotal — average per treatment</t>
        </is>
      </c>
      <c r="B59" s="44" t="n"/>
      <c r="C59" s="44" t="n"/>
      <c r="D59" s="44" t="n"/>
      <c r="E59" s="44" t="n"/>
      <c r="F59" s="44" t="n"/>
      <c r="G59" s="44" t="n"/>
      <c r="H59" s="57">
        <f>ROUND(AVERAGE(H6:H58),2)</f>
        <v/>
      </c>
      <c r="I59" s="57">
        <f>ROUND(AVERAGE(I6:I58),2)</f>
        <v/>
      </c>
      <c r="J59" s="57">
        <f>ROUND(AVERAGE(J6:J58),2)</f>
        <v/>
      </c>
      <c r="K59" s="57">
        <f>ROUND(AVERAGE(K6:K58),2)</f>
        <v/>
      </c>
      <c r="L59" s="57">
        <f>ROUND(AVERAGE(L6:L58),2)</f>
        <v/>
      </c>
    </row>
    <row r="60" ht="15" customHeight="1" s="42">
      <c r="A60" s="44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</row>
    <row r="61" ht="15" customHeight="1" s="42">
      <c r="A61" s="47" t="inlineStr">
        <is>
          <t>Nurse / Laser Technician  (23 treatments)</t>
        </is>
      </c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</row>
    <row r="62" ht="21.75" customHeight="1" s="42">
      <c r="A62" s="48" t="inlineStr">
        <is>
          <t>Treatment</t>
        </is>
      </c>
      <c r="B62" s="49" t="inlineStr">
        <is>
          <t>العلاج</t>
        </is>
      </c>
      <c r="C62" s="48" t="inlineStr">
        <is>
          <t>Category</t>
        </is>
      </c>
      <c r="D62" s="48" t="inlineStr">
        <is>
          <t>Equipment Required</t>
        </is>
      </c>
      <c r="E62" s="50" t="inlineStr">
        <is>
          <t>Dr min</t>
        </is>
      </c>
      <c r="F62" s="50" t="inlineStr">
        <is>
          <t>Nurse min</t>
        </is>
      </c>
      <c r="G62" s="50" t="inlineStr">
        <is>
          <t>Beaut min</t>
        </is>
      </c>
      <c r="H62" s="50" t="inlineStr">
        <is>
          <t>Consumables KD</t>
        </is>
      </c>
      <c r="I62" s="50" t="inlineStr">
        <is>
          <t>Labour KD</t>
        </is>
      </c>
      <c r="J62" s="50" t="inlineStr">
        <is>
          <t>Equip Dep KD</t>
        </is>
      </c>
      <c r="K62" s="50" t="inlineStr">
        <is>
          <t>Overhead KD</t>
        </is>
      </c>
      <c r="L62" s="50" t="inlineStr">
        <is>
          <t>TOTAL COST KD</t>
        </is>
      </c>
    </row>
    <row r="63" ht="15" customHeight="1" s="42">
      <c r="A63" s="51" t="inlineStr">
        <is>
          <t>Skin rejuvenation mesotherapy</t>
        </is>
      </c>
      <c r="B63" s="52" t="inlineStr">
        <is>
          <t>الميزوثيرابي لنضارة البشرة</t>
        </is>
      </c>
      <c r="C63" s="51" t="inlineStr">
        <is>
          <t>Aesthetic</t>
        </is>
      </c>
      <c r="D63" s="51" t="inlineStr">
        <is>
          <t>None — injection trays / doctor room</t>
        </is>
      </c>
      <c r="E63" s="53" t="n">
        <v>0</v>
      </c>
      <c r="F63" s="53" t="n">
        <v>25</v>
      </c>
      <c r="G63" s="53" t="n">
        <v>0</v>
      </c>
      <c r="H63" s="54" t="n">
        <v>12</v>
      </c>
      <c r="I63" s="54" t="n">
        <v>2.28</v>
      </c>
      <c r="J63" s="54" t="n">
        <v>0</v>
      </c>
      <c r="K63" s="54" t="n">
        <v>7.65</v>
      </c>
      <c r="L63" s="55">
        <f>SUM(H63:K63)</f>
        <v/>
      </c>
    </row>
    <row r="64" ht="15" customHeight="1" s="42">
      <c r="A64" s="51" t="inlineStr">
        <is>
          <t>Non-surgical contouring (RF + cavitation, single)</t>
        </is>
      </c>
      <c r="B64" s="52" t="inlineStr">
        <is>
          <t>نحت الجسم غير الجراحي — ترددات راديوية + تجويف فوق صوتي</t>
        </is>
      </c>
      <c r="C64" s="51" t="inlineStr">
        <is>
          <t>Body Contouring</t>
        </is>
      </c>
      <c r="D64" s="51" t="inlineStr">
        <is>
          <t>XERF Monopolar RF</t>
        </is>
      </c>
      <c r="E64" s="53" t="n">
        <v>0</v>
      </c>
      <c r="F64" s="53" t="n">
        <v>60</v>
      </c>
      <c r="G64" s="53" t="n">
        <v>0</v>
      </c>
      <c r="H64" s="54" t="n">
        <v>2.5</v>
      </c>
      <c r="I64" s="54" t="n">
        <v>5.09</v>
      </c>
      <c r="J64" s="54" t="n">
        <v>8</v>
      </c>
      <c r="K64" s="54" t="n">
        <v>15.31</v>
      </c>
      <c r="L64" s="55">
        <f>SUM(H64:K64)</f>
        <v/>
      </c>
    </row>
    <row r="65" ht="15" customHeight="1" s="42">
      <c r="A65" s="51" t="inlineStr">
        <is>
          <t>Fat-dissolving mesotherapy (per area)</t>
        </is>
      </c>
      <c r="B65" s="52" t="inlineStr">
        <is>
          <t>الميزوثيرابي لإذابة الدهون (للمنطقة)</t>
        </is>
      </c>
      <c r="C65" s="51" t="inlineStr">
        <is>
          <t>Body — Fat Dissolve</t>
        </is>
      </c>
      <c r="D65" s="51" t="inlineStr">
        <is>
          <t>None — injection trays / doctor room</t>
        </is>
      </c>
      <c r="E65" s="53" t="n">
        <v>0</v>
      </c>
      <c r="F65" s="53" t="n">
        <v>25</v>
      </c>
      <c r="G65" s="53" t="n">
        <v>0</v>
      </c>
      <c r="H65" s="54" t="n">
        <v>25</v>
      </c>
      <c r="I65" s="54" t="n">
        <v>2.28</v>
      </c>
      <c r="J65" s="54" t="n">
        <v>0</v>
      </c>
      <c r="K65" s="54" t="n">
        <v>7.65</v>
      </c>
      <c r="L65" s="55">
        <f>SUM(H65:K65)</f>
        <v/>
      </c>
    </row>
    <row r="66" ht="15" customHeight="1" s="42">
      <c r="A66" s="51" t="inlineStr">
        <is>
          <t>Mesotherapy cellulite</t>
        </is>
      </c>
      <c r="B66" s="52" t="inlineStr">
        <is>
          <t>الميزوثيرابي لعلاج السيلوليت</t>
        </is>
      </c>
      <c r="C66" s="51" t="inlineStr">
        <is>
          <t>Cellulite</t>
        </is>
      </c>
      <c r="D66" s="51" t="inlineStr">
        <is>
          <t>None — injection trays / doctor room</t>
        </is>
      </c>
      <c r="E66" s="53" t="n">
        <v>0</v>
      </c>
      <c r="F66" s="53" t="n">
        <v>30</v>
      </c>
      <c r="G66" s="53" t="n">
        <v>0</v>
      </c>
      <c r="H66" s="54" t="n">
        <v>13.5</v>
      </c>
      <c r="I66" s="54" t="n">
        <v>2.68</v>
      </c>
      <c r="J66" s="54" t="n">
        <v>0</v>
      </c>
      <c r="K66" s="54" t="n">
        <v>8.75</v>
      </c>
      <c r="L66" s="55">
        <f>SUM(H66:K66)</f>
        <v/>
      </c>
    </row>
    <row r="67" ht="15" customHeight="1" s="42">
      <c r="A67" s="51" t="inlineStr">
        <is>
          <t>Mesotherapy under-eye</t>
        </is>
      </c>
      <c r="B67" s="52" t="inlineStr">
        <is>
          <t>الميزوثيرابي — منطقة تحت العين</t>
        </is>
      </c>
      <c r="C67" s="51" t="inlineStr">
        <is>
          <t>Eye Care</t>
        </is>
      </c>
      <c r="D67" s="51" t="inlineStr">
        <is>
          <t>None — injection trays / doctor room</t>
        </is>
      </c>
      <c r="E67" s="53" t="n">
        <v>0</v>
      </c>
      <c r="F67" s="53" t="n">
        <v>25</v>
      </c>
      <c r="G67" s="53" t="n">
        <v>0</v>
      </c>
      <c r="H67" s="54" t="n">
        <v>12.5</v>
      </c>
      <c r="I67" s="54" t="n">
        <v>2.28</v>
      </c>
      <c r="J67" s="54" t="n">
        <v>0</v>
      </c>
      <c r="K67" s="54" t="n">
        <v>7.65</v>
      </c>
      <c r="L67" s="55">
        <f>SUM(H67:K67)</f>
        <v/>
      </c>
    </row>
    <row r="68" ht="15" customHeight="1" s="42">
      <c r="A68" s="51" t="inlineStr">
        <is>
          <t>Hair mesotherapy (single)</t>
        </is>
      </c>
      <c r="B68" s="52" t="inlineStr">
        <is>
          <t>الميزوثيرابي — فروة الرأس (جلسة)</t>
        </is>
      </c>
      <c r="C68" s="51" t="inlineStr">
        <is>
          <t>Hair</t>
        </is>
      </c>
      <c r="D68" s="51" t="inlineStr">
        <is>
          <t>None — injection trays / doctor room</t>
        </is>
      </c>
      <c r="E68" s="53" t="n">
        <v>0</v>
      </c>
      <c r="F68" s="53" t="n">
        <v>30</v>
      </c>
      <c r="G68" s="53" t="n">
        <v>0</v>
      </c>
      <c r="H68" s="54" t="n">
        <v>13.5</v>
      </c>
      <c r="I68" s="54" t="n">
        <v>2.68</v>
      </c>
      <c r="J68" s="54" t="n">
        <v>0</v>
      </c>
      <c r="K68" s="54" t="n">
        <v>8.75</v>
      </c>
      <c r="L68" s="55">
        <f>SUM(H68:K68)</f>
        <v/>
      </c>
    </row>
    <row r="69" ht="15" customHeight="1" s="42">
      <c r="A69" s="51" t="inlineStr">
        <is>
          <t>Intimate area tightening (laser/RF, single)</t>
        </is>
      </c>
      <c r="B69" s="52" t="inlineStr">
        <is>
          <t>تضييق المنطقة الحساسة — ليزر / ترددات راديوية (جلسة)</t>
        </is>
      </c>
      <c r="C69" s="51" t="inlineStr">
        <is>
          <t>Intimate</t>
        </is>
      </c>
      <c r="D69" s="51" t="inlineStr">
        <is>
          <t>XERF Monopolar RF</t>
        </is>
      </c>
      <c r="E69" s="53" t="n">
        <v>0</v>
      </c>
      <c r="F69" s="53" t="n">
        <v>40</v>
      </c>
      <c r="G69" s="53" t="n">
        <v>0</v>
      </c>
      <c r="H69" s="54" t="n">
        <v>4</v>
      </c>
      <c r="I69" s="54" t="n">
        <v>3.49</v>
      </c>
      <c r="J69" s="54" t="n">
        <v>8</v>
      </c>
      <c r="K69" s="54" t="n">
        <v>12.03</v>
      </c>
      <c r="L69" s="55">
        <f>SUM(H69:K69)</f>
        <v/>
      </c>
    </row>
    <row r="70" ht="15" customHeight="1" s="42">
      <c r="A70" s="51" t="inlineStr">
        <is>
          <t>Lip + intimate brightening (peel course session)</t>
        </is>
      </c>
      <c r="B70" s="52" t="inlineStr">
        <is>
          <t>تفتيح الشفتين والمناطق الحساسة — تقشير متخصص (جلسة)</t>
        </is>
      </c>
      <c r="C70" s="51" t="inlineStr">
        <is>
          <t>Intimate</t>
        </is>
      </c>
      <c r="D70" s="51" t="inlineStr">
        <is>
          <t>None — injection trays / doctor room</t>
        </is>
      </c>
      <c r="E70" s="53" t="n">
        <v>0</v>
      </c>
      <c r="F70" s="53" t="n">
        <v>25</v>
      </c>
      <c r="G70" s="53" t="n">
        <v>0</v>
      </c>
      <c r="H70" s="54" t="n">
        <v>19</v>
      </c>
      <c r="I70" s="54" t="n">
        <v>2.28</v>
      </c>
      <c r="J70" s="54" t="n">
        <v>0</v>
      </c>
      <c r="K70" s="54" t="n">
        <v>7.65</v>
      </c>
      <c r="L70" s="55">
        <f>SUM(H70:K70)</f>
        <v/>
      </c>
    </row>
    <row r="71" ht="15" customHeight="1" s="42">
      <c r="A71" s="51" t="inlineStr">
        <is>
          <t>Mesotherapy — bikini brightening</t>
        </is>
      </c>
      <c r="B71" s="52" t="inlineStr">
        <is>
          <t>الميزوثيرابي لتفتيح منطقة البكيني</t>
        </is>
      </c>
      <c r="C71" s="51" t="inlineStr">
        <is>
          <t>Intimate</t>
        </is>
      </c>
      <c r="D71" s="51" t="inlineStr">
        <is>
          <t>None — injection trays / doctor room</t>
        </is>
      </c>
      <c r="E71" s="53" t="n">
        <v>0</v>
      </c>
      <c r="F71" s="53" t="n">
        <v>25</v>
      </c>
      <c r="G71" s="53" t="n">
        <v>0</v>
      </c>
      <c r="H71" s="54" t="n">
        <v>13.5</v>
      </c>
      <c r="I71" s="54" t="n">
        <v>2.28</v>
      </c>
      <c r="J71" s="54" t="n">
        <v>0</v>
      </c>
      <c r="K71" s="54" t="n">
        <v>7.65</v>
      </c>
      <c r="L71" s="55">
        <f>SUM(H71:K71)</f>
        <v/>
      </c>
    </row>
    <row r="72" ht="15" customHeight="1" s="42">
      <c r="A72" s="51" t="inlineStr">
        <is>
          <t>Mesotherapy — bikini tightening</t>
        </is>
      </c>
      <c r="B72" s="52" t="inlineStr">
        <is>
          <t>الميزوثيرابي لشد منطقة البكيني</t>
        </is>
      </c>
      <c r="C72" s="51" t="inlineStr">
        <is>
          <t>Intimate</t>
        </is>
      </c>
      <c r="D72" s="51" t="inlineStr">
        <is>
          <t>None — injection trays / doctor room</t>
        </is>
      </c>
      <c r="E72" s="53" t="n">
        <v>0</v>
      </c>
      <c r="F72" s="53" t="n">
        <v>25</v>
      </c>
      <c r="G72" s="53" t="n">
        <v>0</v>
      </c>
      <c r="H72" s="54" t="n">
        <v>13.5</v>
      </c>
      <c r="I72" s="54" t="n">
        <v>2.28</v>
      </c>
      <c r="J72" s="54" t="n">
        <v>0</v>
      </c>
      <c r="K72" s="54" t="n">
        <v>7.65</v>
      </c>
      <c r="L72" s="55">
        <f>SUM(H72:K72)</f>
        <v/>
      </c>
    </row>
    <row r="73" ht="15" customHeight="1" s="42">
      <c r="A73" s="51" t="inlineStr">
        <is>
          <t>Mesotherapy — combined bikini (whitening + firming)</t>
        </is>
      </c>
      <c r="B73" s="52" t="inlineStr">
        <is>
          <t>الميزوثيرابي المدمج — البكيني (تفتيح + شد)</t>
        </is>
      </c>
      <c r="C73" s="51" t="inlineStr">
        <is>
          <t>Intimate</t>
        </is>
      </c>
      <c r="D73" s="51" t="inlineStr">
        <is>
          <t>None — injection trays / doctor room</t>
        </is>
      </c>
      <c r="E73" s="53" t="n">
        <v>0</v>
      </c>
      <c r="F73" s="53" t="n">
        <v>35</v>
      </c>
      <c r="G73" s="53" t="n">
        <v>0</v>
      </c>
      <c r="H73" s="54" t="n">
        <v>25.5</v>
      </c>
      <c r="I73" s="54" t="n">
        <v>3.08</v>
      </c>
      <c r="J73" s="54" t="n">
        <v>0</v>
      </c>
      <c r="K73" s="54" t="n">
        <v>9.84</v>
      </c>
      <c r="L73" s="55">
        <f>SUM(H73:K73)</f>
        <v/>
      </c>
    </row>
    <row r="74" ht="15" customHeight="1" s="42">
      <c r="A74" s="51" t="inlineStr">
        <is>
          <t>LHR — Arms (full)</t>
        </is>
      </c>
      <c r="B74" s="52" t="inlineStr">
        <is>
          <t>إزالة الشعر بالليزر — الذراعان كاملًا</t>
        </is>
      </c>
      <c r="C74" s="51" t="inlineStr">
        <is>
          <t>LHR</t>
        </is>
      </c>
      <c r="D74" s="51" t="inlineStr">
        <is>
          <t>Cynosure Elite IQ (LHR)</t>
        </is>
      </c>
      <c r="E74" s="53" t="n">
        <v>0</v>
      </c>
      <c r="F74" s="53" t="n">
        <v>30</v>
      </c>
      <c r="G74" s="53" t="n">
        <v>0</v>
      </c>
      <c r="H74" s="54" t="n">
        <v>2.5</v>
      </c>
      <c r="I74" s="54" t="n">
        <v>2.68</v>
      </c>
      <c r="J74" s="54" t="n">
        <v>2.67</v>
      </c>
      <c r="K74" s="54" t="n">
        <v>8.75</v>
      </c>
      <c r="L74" s="55">
        <f>SUM(H74:K74)</f>
        <v/>
      </c>
    </row>
    <row r="75" ht="15" customHeight="1" s="42">
      <c r="A75" s="51" t="inlineStr">
        <is>
          <t>LHR — Back (full)</t>
        </is>
      </c>
      <c r="B75" s="52" t="inlineStr">
        <is>
          <t>إزالة الشعر بالليزر — الظهر كاملًا</t>
        </is>
      </c>
      <c r="C75" s="51" t="inlineStr">
        <is>
          <t>LHR</t>
        </is>
      </c>
      <c r="D75" s="51" t="inlineStr">
        <is>
          <t>Cynosure Elite IQ (LHR)</t>
        </is>
      </c>
      <c r="E75" s="53" t="n">
        <v>0</v>
      </c>
      <c r="F75" s="53" t="n">
        <v>30</v>
      </c>
      <c r="G75" s="53" t="n">
        <v>0</v>
      </c>
      <c r="H75" s="54" t="n">
        <v>2.5</v>
      </c>
      <c r="I75" s="54" t="n">
        <v>2.68</v>
      </c>
      <c r="J75" s="54" t="n">
        <v>2.67</v>
      </c>
      <c r="K75" s="54" t="n">
        <v>8.75</v>
      </c>
      <c r="L75" s="55">
        <f>SUM(H75:K75)</f>
        <v/>
      </c>
    </row>
    <row r="76" ht="15" customHeight="1" s="42">
      <c r="A76" s="51" t="inlineStr">
        <is>
          <t>LHR — Bikini (standard, single)</t>
        </is>
      </c>
      <c r="B76" s="52" t="inlineStr">
        <is>
          <t>إزالة الشعر بالليزر — خط البكيني (جلسة)</t>
        </is>
      </c>
      <c r="C76" s="51" t="inlineStr">
        <is>
          <t>LHR</t>
        </is>
      </c>
      <c r="D76" s="51" t="inlineStr">
        <is>
          <t>Cynosure Elite IQ (LHR)</t>
        </is>
      </c>
      <c r="E76" s="53" t="n">
        <v>0</v>
      </c>
      <c r="F76" s="53" t="n">
        <v>20</v>
      </c>
      <c r="G76" s="53" t="n">
        <v>0</v>
      </c>
      <c r="H76" s="54" t="n">
        <v>2.5</v>
      </c>
      <c r="I76" s="54" t="n">
        <v>1.88</v>
      </c>
      <c r="J76" s="54" t="n">
        <v>2.67</v>
      </c>
      <c r="K76" s="54" t="n">
        <v>6.56</v>
      </c>
      <c r="L76" s="55">
        <f>SUM(H76:K76)</f>
        <v/>
      </c>
    </row>
    <row r="77" ht="15" customHeight="1" s="42">
      <c r="A77" s="51" t="inlineStr">
        <is>
          <t>LHR — Brazilian (full)</t>
        </is>
      </c>
      <c r="B77" s="52" t="inlineStr">
        <is>
          <t>إزالة الشعر بالليزر — البرازيلي الكامل</t>
        </is>
      </c>
      <c r="C77" s="51" t="inlineStr">
        <is>
          <t>LHR</t>
        </is>
      </c>
      <c r="D77" s="51" t="inlineStr">
        <is>
          <t>Cynosure Elite IQ (LHR)</t>
        </is>
      </c>
      <c r="E77" s="53" t="n">
        <v>0</v>
      </c>
      <c r="F77" s="53" t="n">
        <v>25</v>
      </c>
      <c r="G77" s="53" t="n">
        <v>0</v>
      </c>
      <c r="H77" s="54" t="n">
        <v>2.5</v>
      </c>
      <c r="I77" s="54" t="n">
        <v>2.28</v>
      </c>
      <c r="J77" s="54" t="n">
        <v>2.67</v>
      </c>
      <c r="K77" s="54" t="n">
        <v>7.65</v>
      </c>
      <c r="L77" s="55">
        <f>SUM(H77:K77)</f>
        <v/>
      </c>
    </row>
    <row r="78" ht="15" customHeight="1" s="42">
      <c r="A78" s="51" t="inlineStr">
        <is>
          <t>LHR — Face (single session)</t>
        </is>
      </c>
      <c r="B78" s="52" t="inlineStr">
        <is>
          <t>إزالة الشعر بالليزر — الوجه (جلسة)</t>
        </is>
      </c>
      <c r="C78" s="51" t="inlineStr">
        <is>
          <t>LHR</t>
        </is>
      </c>
      <c r="D78" s="51" t="inlineStr">
        <is>
          <t>Cynosure Elite IQ (LHR)</t>
        </is>
      </c>
      <c r="E78" s="53" t="n">
        <v>0</v>
      </c>
      <c r="F78" s="53" t="n">
        <v>20</v>
      </c>
      <c r="G78" s="53" t="n">
        <v>0</v>
      </c>
      <c r="H78" s="54" t="n">
        <v>2.5</v>
      </c>
      <c r="I78" s="54" t="n">
        <v>1.88</v>
      </c>
      <c r="J78" s="54" t="n">
        <v>2.67</v>
      </c>
      <c r="K78" s="54" t="n">
        <v>6.56</v>
      </c>
      <c r="L78" s="55">
        <f>SUM(H78:K78)</f>
        <v/>
      </c>
    </row>
    <row r="79" ht="15" customHeight="1" s="42">
      <c r="A79" s="51" t="inlineStr">
        <is>
          <t>LHR — Full body (ladies, single)</t>
        </is>
      </c>
      <c r="B79" s="52" t="inlineStr">
        <is>
          <t>إزالة الشعر بالليزر — الجسم كاملًا (سيدات، جلسة)</t>
        </is>
      </c>
      <c r="C79" s="51" t="inlineStr">
        <is>
          <t>LHR</t>
        </is>
      </c>
      <c r="D79" s="51" t="inlineStr">
        <is>
          <t>Cynosure Elite IQ (LHR)</t>
        </is>
      </c>
      <c r="E79" s="53" t="n">
        <v>0</v>
      </c>
      <c r="F79" s="53" t="n">
        <v>70</v>
      </c>
      <c r="G79" s="53" t="n">
        <v>0</v>
      </c>
      <c r="H79" s="54" t="n">
        <v>5</v>
      </c>
      <c r="I79" s="54" t="n">
        <v>6.17</v>
      </c>
      <c r="J79" s="54" t="n">
        <v>2.67</v>
      </c>
      <c r="K79" s="54" t="n">
        <v>19.68</v>
      </c>
      <c r="L79" s="55">
        <f>SUM(H79:K79)</f>
        <v/>
      </c>
    </row>
    <row r="80" ht="15" customHeight="1" s="42">
      <c r="A80" s="51" t="inlineStr">
        <is>
          <t>LHR — Legs (full)</t>
        </is>
      </c>
      <c r="B80" s="52" t="inlineStr">
        <is>
          <t>إزالة الشعر بالليزر — الساقان كاملًا</t>
        </is>
      </c>
      <c r="C80" s="51" t="inlineStr">
        <is>
          <t>LHR</t>
        </is>
      </c>
      <c r="D80" s="51" t="inlineStr">
        <is>
          <t>Cynosure Elite IQ (LHR)</t>
        </is>
      </c>
      <c r="E80" s="53" t="n">
        <v>0</v>
      </c>
      <c r="F80" s="53" t="n">
        <v>45</v>
      </c>
      <c r="G80" s="53" t="n">
        <v>0</v>
      </c>
      <c r="H80" s="54" t="n">
        <v>2.5</v>
      </c>
      <c r="I80" s="54" t="n">
        <v>3.89</v>
      </c>
      <c r="J80" s="54" t="n">
        <v>2.67</v>
      </c>
      <c r="K80" s="54" t="n">
        <v>12.03</v>
      </c>
      <c r="L80" s="55">
        <f>SUM(H80:K80)</f>
        <v/>
      </c>
    </row>
    <row r="81" ht="15" customHeight="1" s="42">
      <c r="A81" s="51" t="inlineStr">
        <is>
          <t>LHR — Underarms (single session)</t>
        </is>
      </c>
      <c r="B81" s="52" t="inlineStr">
        <is>
          <t>إزالة الشعر بالليزر — الإبطان (جلسة)</t>
        </is>
      </c>
      <c r="C81" s="51" t="inlineStr">
        <is>
          <t>LHR</t>
        </is>
      </c>
      <c r="D81" s="51" t="inlineStr">
        <is>
          <t>Cynosure Elite IQ (LHR)</t>
        </is>
      </c>
      <c r="E81" s="53" t="n">
        <v>0</v>
      </c>
      <c r="F81" s="53" t="n">
        <v>15</v>
      </c>
      <c r="G81" s="53" t="n">
        <v>0</v>
      </c>
      <c r="H81" s="54" t="n">
        <v>2.5</v>
      </c>
      <c r="I81" s="54" t="n">
        <v>1.48</v>
      </c>
      <c r="J81" s="54" t="n">
        <v>2.67</v>
      </c>
      <c r="K81" s="54" t="n">
        <v>5.47</v>
      </c>
      <c r="L81" s="55">
        <f>SUM(H81:K81)</f>
        <v/>
      </c>
    </row>
    <row r="82" ht="15" customHeight="1" s="42">
      <c r="A82" s="51" t="inlineStr">
        <is>
          <t>Mesotherapy for surgical scars</t>
        </is>
      </c>
      <c r="B82" s="52" t="inlineStr">
        <is>
          <t>الميزوثيرابي للندبات الجراحية</t>
        </is>
      </c>
      <c r="C82" s="51" t="inlineStr">
        <is>
          <t>Scar Repair</t>
        </is>
      </c>
      <c r="D82" s="51" t="inlineStr">
        <is>
          <t>None — injection trays / doctor room</t>
        </is>
      </c>
      <c r="E82" s="53" t="n">
        <v>0</v>
      </c>
      <c r="F82" s="53" t="n">
        <v>25</v>
      </c>
      <c r="G82" s="53" t="n">
        <v>0</v>
      </c>
      <c r="H82" s="54" t="n">
        <v>13.5</v>
      </c>
      <c r="I82" s="54" t="n">
        <v>2.28</v>
      </c>
      <c r="J82" s="54" t="n">
        <v>0</v>
      </c>
      <c r="K82" s="54" t="n">
        <v>7.65</v>
      </c>
      <c r="L82" s="55">
        <f>SUM(H82:K82)</f>
        <v/>
      </c>
    </row>
    <row r="83" ht="15" customHeight="1" s="42">
      <c r="A83" s="51" t="inlineStr">
        <is>
          <t>Body tightening mesotherapy (per area)</t>
        </is>
      </c>
      <c r="B83" s="52" t="inlineStr">
        <is>
          <t>الميزوثيرابي لشد الجسم (للمنطقة)</t>
        </is>
      </c>
      <c r="C83" s="51" t="inlineStr">
        <is>
          <t>Skin Tightening</t>
        </is>
      </c>
      <c r="D83" s="51" t="inlineStr">
        <is>
          <t>None — injection trays / doctor room</t>
        </is>
      </c>
      <c r="E83" s="53" t="n">
        <v>0</v>
      </c>
      <c r="F83" s="53" t="n">
        <v>30</v>
      </c>
      <c r="G83" s="53" t="n">
        <v>0</v>
      </c>
      <c r="H83" s="54" t="n">
        <v>12</v>
      </c>
      <c r="I83" s="54" t="n">
        <v>2.68</v>
      </c>
      <c r="J83" s="54" t="n">
        <v>0</v>
      </c>
      <c r="K83" s="54" t="n">
        <v>8.75</v>
      </c>
      <c r="L83" s="55">
        <f>SUM(H83:K83)</f>
        <v/>
      </c>
    </row>
    <row r="84" ht="15" customHeight="1" s="42">
      <c r="A84" s="51" t="inlineStr">
        <is>
          <t>Face tightening mesotherapy</t>
        </is>
      </c>
      <c r="B84" s="52" t="inlineStr">
        <is>
          <t>الميزوثيرابي لشد الوجه</t>
        </is>
      </c>
      <c r="C84" s="51" t="inlineStr">
        <is>
          <t>Skin Tightening</t>
        </is>
      </c>
      <c r="D84" s="51" t="inlineStr">
        <is>
          <t>None — injection trays / doctor room</t>
        </is>
      </c>
      <c r="E84" s="53" t="n">
        <v>0</v>
      </c>
      <c r="F84" s="53" t="n">
        <v>25</v>
      </c>
      <c r="G84" s="53" t="n">
        <v>0</v>
      </c>
      <c r="H84" s="54" t="n">
        <v>12</v>
      </c>
      <c r="I84" s="54" t="n">
        <v>2.28</v>
      </c>
      <c r="J84" s="54" t="n">
        <v>0</v>
      </c>
      <c r="K84" s="54" t="n">
        <v>7.65</v>
      </c>
      <c r="L84" s="55">
        <f>SUM(H84:K84)</f>
        <v/>
      </c>
    </row>
    <row r="85" ht="15" customHeight="1" s="42">
      <c r="A85" s="51" t="inlineStr">
        <is>
          <t>Wound / burn treatment session</t>
        </is>
      </c>
      <c r="B85" s="52" t="inlineStr">
        <is>
          <t>علاج الجروح والحروق — ضمادات متخصصة (جلسة)</t>
        </is>
      </c>
      <c r="C85" s="51" t="inlineStr">
        <is>
          <t>Wound Care</t>
        </is>
      </c>
      <c r="D85" s="51" t="inlineStr">
        <is>
          <t>None — injection trays / doctor room</t>
        </is>
      </c>
      <c r="E85" s="53" t="n">
        <v>0</v>
      </c>
      <c r="F85" s="53" t="n">
        <v>30</v>
      </c>
      <c r="G85" s="53" t="n">
        <v>30</v>
      </c>
      <c r="H85" s="54" t="n">
        <v>7</v>
      </c>
      <c r="I85" s="54" t="n">
        <v>3.95</v>
      </c>
      <c r="J85" s="54" t="n">
        <v>0</v>
      </c>
      <c r="K85" s="54" t="n">
        <v>10.93</v>
      </c>
      <c r="L85" s="55">
        <f>SUM(H85:K85)</f>
        <v/>
      </c>
    </row>
    <row r="86" ht="15" customHeight="1" s="42">
      <c r="A86" s="56" t="inlineStr">
        <is>
          <t>Subtotal — average per treatment</t>
        </is>
      </c>
      <c r="B86" s="44" t="n"/>
      <c r="C86" s="44" t="n"/>
      <c r="D86" s="44" t="n"/>
      <c r="E86" s="44" t="n"/>
      <c r="F86" s="44" t="n"/>
      <c r="G86" s="44" t="n"/>
      <c r="H86" s="57">
        <f>ROUND(AVERAGE(H63:H85),2)</f>
        <v/>
      </c>
      <c r="I86" s="57">
        <f>ROUND(AVERAGE(I63:I85),2)</f>
        <v/>
      </c>
      <c r="J86" s="57">
        <f>ROUND(AVERAGE(J63:J85),2)</f>
        <v/>
      </c>
      <c r="K86" s="57">
        <f>ROUND(AVERAGE(K63:K85),2)</f>
        <v/>
      </c>
      <c r="L86" s="57">
        <f>ROUND(AVERAGE(L63:L85),2)</f>
        <v/>
      </c>
    </row>
    <row r="87" ht="15" customHeight="1" s="42">
      <c r="A87" s="44" t="n"/>
      <c r="B87" s="44" t="n"/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</row>
    <row r="88" ht="15" customHeight="1" s="42">
      <c r="A88" s="47" t="inlineStr">
        <is>
          <t>Beautician  (8 treatments)</t>
        </is>
      </c>
      <c r="B88" s="44" t="n"/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</row>
    <row r="89" ht="21.75" customHeight="1" s="42">
      <c r="A89" s="48" t="inlineStr">
        <is>
          <t>Treatment</t>
        </is>
      </c>
      <c r="B89" s="49" t="inlineStr">
        <is>
          <t>العلاج</t>
        </is>
      </c>
      <c r="C89" s="48" t="inlineStr">
        <is>
          <t>Category</t>
        </is>
      </c>
      <c r="D89" s="48" t="inlineStr">
        <is>
          <t>Equipment Required</t>
        </is>
      </c>
      <c r="E89" s="50" t="inlineStr">
        <is>
          <t>Dr min</t>
        </is>
      </c>
      <c r="F89" s="50" t="inlineStr">
        <is>
          <t>Nurse min</t>
        </is>
      </c>
      <c r="G89" s="50" t="inlineStr">
        <is>
          <t>Beaut min</t>
        </is>
      </c>
      <c r="H89" s="50" t="inlineStr">
        <is>
          <t>Consumables KD</t>
        </is>
      </c>
      <c r="I89" s="50" t="inlineStr">
        <is>
          <t>Labour KD</t>
        </is>
      </c>
      <c r="J89" s="50" t="inlineStr">
        <is>
          <t>Equip Dep KD</t>
        </is>
      </c>
      <c r="K89" s="50" t="inlineStr">
        <is>
          <t>Overhead KD</t>
        </is>
      </c>
      <c r="L89" s="50" t="inlineStr">
        <is>
          <t>TOTAL COST KD</t>
        </is>
      </c>
    </row>
    <row r="90" ht="15" customHeight="1" s="42">
      <c r="A90" s="51" t="inlineStr">
        <is>
          <t>Acne scar by area — beautician (Dermapen)</t>
        </is>
      </c>
      <c r="B90" s="52" t="inlineStr">
        <is>
          <t>علاج ندبات حب الشباب بالديرمابن (للمنطقة)</t>
        </is>
      </c>
      <c r="C90" s="51" t="inlineStr">
        <is>
          <t>Acne</t>
        </is>
      </c>
      <c r="D90" s="51" t="inlineStr">
        <is>
          <t>Dermapen 4 + PRP centrifuge</t>
        </is>
      </c>
      <c r="E90" s="53" t="n">
        <v>0</v>
      </c>
      <c r="F90" s="53" t="n">
        <v>0</v>
      </c>
      <c r="G90" s="53" t="n">
        <v>50</v>
      </c>
      <c r="H90" s="54" t="n">
        <v>3</v>
      </c>
      <c r="I90" s="54" t="n">
        <v>2.38</v>
      </c>
      <c r="J90" s="54" t="n">
        <v>0.2</v>
      </c>
      <c r="K90" s="54" t="n">
        <v>12.03</v>
      </c>
      <c r="L90" s="55">
        <f>SUM(H90:K90)</f>
        <v/>
      </c>
    </row>
    <row r="91" ht="15" customHeight="1" s="42">
      <c r="A91" s="51" t="inlineStr">
        <is>
          <t>Active acne + peeling — beautician</t>
        </is>
      </c>
      <c r="B91" s="52" t="inlineStr">
        <is>
          <t>علاج حب الشباب النشط مع التقشير السطحي</t>
        </is>
      </c>
      <c r="C91" s="51" t="inlineStr">
        <is>
          <t>Acne</t>
        </is>
      </c>
      <c r="D91" s="51" t="inlineStr">
        <is>
          <t>None — injection trays / doctor room</t>
        </is>
      </c>
      <c r="E91" s="53" t="n">
        <v>0</v>
      </c>
      <c r="F91" s="53" t="n">
        <v>0</v>
      </c>
      <c r="G91" s="53" t="n">
        <v>45</v>
      </c>
      <c r="H91" s="54" t="n">
        <v>9.5</v>
      </c>
      <c r="I91" s="54" t="n">
        <v>2.17</v>
      </c>
      <c r="J91" s="54" t="n">
        <v>0</v>
      </c>
      <c r="K91" s="54" t="n">
        <v>10.93</v>
      </c>
      <c r="L91" s="55">
        <f>SUM(H91:K91)</f>
        <v/>
      </c>
    </row>
    <row r="92" ht="15" customHeight="1" s="42">
      <c r="A92" s="51" t="inlineStr">
        <is>
          <t>Dermapen single session — beautician</t>
        </is>
      </c>
      <c r="B92" s="52" t="inlineStr">
        <is>
          <t>الوخز الدقيق بالإبر (ديرمابن) — جلسة</t>
        </is>
      </c>
      <c r="C92" s="51" t="inlineStr">
        <is>
          <t>Aesthetic — Dermapen</t>
        </is>
      </c>
      <c r="D92" s="51" t="inlineStr">
        <is>
          <t>Dermapen 4 + PRP centrifuge</t>
        </is>
      </c>
      <c r="E92" s="53" t="n">
        <v>0</v>
      </c>
      <c r="F92" s="53" t="n">
        <v>0</v>
      </c>
      <c r="G92" s="53" t="n">
        <v>45</v>
      </c>
      <c r="H92" s="54" t="n">
        <v>3</v>
      </c>
      <c r="I92" s="54" t="n">
        <v>2.17</v>
      </c>
      <c r="J92" s="54" t="n">
        <v>0.2</v>
      </c>
      <c r="K92" s="54" t="n">
        <v>10.93</v>
      </c>
      <c r="L92" s="55">
        <f>SUM(H92:K92)</f>
        <v/>
      </c>
    </row>
    <row r="93" ht="15" customHeight="1" s="42">
      <c r="A93" s="51" t="inlineStr">
        <is>
          <t>Body contouring — single (RF/cavitation/cryo)</t>
        </is>
      </c>
      <c r="B93" s="52" t="inlineStr">
        <is>
          <t>نحت الجسم — ترددات / تجويف فوق صوتي / تجميد دهني (جلسة)</t>
        </is>
      </c>
      <c r="C93" s="51" t="inlineStr">
        <is>
          <t>Body Contouring</t>
        </is>
      </c>
      <c r="D93" s="51" t="inlineStr">
        <is>
          <t>XERF Monopolar RF</t>
        </is>
      </c>
      <c r="E93" s="53" t="n">
        <v>0</v>
      </c>
      <c r="F93" s="53" t="n">
        <v>0</v>
      </c>
      <c r="G93" s="53" t="n">
        <v>60</v>
      </c>
      <c r="H93" s="54" t="n">
        <v>2.5</v>
      </c>
      <c r="I93" s="54" t="n">
        <v>2.8</v>
      </c>
      <c r="J93" s="54" t="n">
        <v>8</v>
      </c>
      <c r="K93" s="54" t="n">
        <v>14.21</v>
      </c>
      <c r="L93" s="55">
        <f>SUM(H93:K93)</f>
        <v/>
      </c>
    </row>
    <row r="94" ht="15" customHeight="1" s="42">
      <c r="A94" s="51" t="inlineStr">
        <is>
          <t>Microneedling — body (per zone)</t>
        </is>
      </c>
      <c r="B94" s="52" t="inlineStr">
        <is>
          <t>الوخز الدقيق بالإبر — الجسم (للمنطقة)</t>
        </is>
      </c>
      <c r="C94" s="51" t="inlineStr">
        <is>
          <t>Body Treatments</t>
        </is>
      </c>
      <c r="D94" s="51" t="inlineStr">
        <is>
          <t>Dermapen 4 + PRP centrifuge</t>
        </is>
      </c>
      <c r="E94" s="53" t="n">
        <v>0</v>
      </c>
      <c r="F94" s="53" t="n">
        <v>0</v>
      </c>
      <c r="G94" s="53" t="n">
        <v>45</v>
      </c>
      <c r="H94" s="54" t="n">
        <v>4.5</v>
      </c>
      <c r="I94" s="54" t="n">
        <v>2.17</v>
      </c>
      <c r="J94" s="54" t="n">
        <v>0.2</v>
      </c>
      <c r="K94" s="54" t="n">
        <v>10.93</v>
      </c>
      <c r="L94" s="55">
        <f>SUM(H94:K94)</f>
        <v/>
      </c>
    </row>
    <row r="95" ht="15" customHeight="1" s="42">
      <c r="A95" s="51" t="inlineStr">
        <is>
          <t>Cellulite session</t>
        </is>
      </c>
      <c r="B95" s="52" t="inlineStr">
        <is>
          <t>علاج السيلوليت (جلسة)</t>
        </is>
      </c>
      <c r="C95" s="51" t="inlineStr">
        <is>
          <t>Cellulite</t>
        </is>
      </c>
      <c r="D95" s="51" t="inlineStr">
        <is>
          <t>XERF Monopolar RF</t>
        </is>
      </c>
      <c r="E95" s="53" t="n">
        <v>0</v>
      </c>
      <c r="F95" s="53" t="n">
        <v>0</v>
      </c>
      <c r="G95" s="53" t="n">
        <v>60</v>
      </c>
      <c r="H95" s="54" t="n">
        <v>2.5</v>
      </c>
      <c r="I95" s="54" t="n">
        <v>2.8</v>
      </c>
      <c r="J95" s="54" t="n">
        <v>8</v>
      </c>
      <c r="K95" s="54" t="n">
        <v>14.21</v>
      </c>
      <c r="L95" s="55">
        <f>SUM(H95:K95)</f>
        <v/>
      </c>
    </row>
    <row r="96" ht="15" customHeight="1" s="42">
      <c r="A96" s="51" t="inlineStr">
        <is>
          <t>Non-surgical face lift (HIFU/RF) — beautician</t>
        </is>
      </c>
      <c r="B96" s="52" t="inlineStr">
        <is>
          <t>شد الوجه غير الجراحي — هايفو / ترددات راديوية</t>
        </is>
      </c>
      <c r="C96" s="51" t="inlineStr">
        <is>
          <t>Skin Tightening</t>
        </is>
      </c>
      <c r="D96" s="51" t="inlineStr">
        <is>
          <t>XERF RF + HIFU kit</t>
        </is>
      </c>
      <c r="E96" s="53" t="n">
        <v>0</v>
      </c>
      <c r="F96" s="53" t="n">
        <v>0</v>
      </c>
      <c r="G96" s="53" t="n">
        <v>60</v>
      </c>
      <c r="H96" s="54" t="n">
        <v>35</v>
      </c>
      <c r="I96" s="54" t="n">
        <v>2.8</v>
      </c>
      <c r="J96" s="54" t="n">
        <v>9.67</v>
      </c>
      <c r="K96" s="54" t="n">
        <v>14.21</v>
      </c>
      <c r="L96" s="55">
        <f>SUM(H96:K96)</f>
        <v/>
      </c>
    </row>
    <row r="97" ht="15" customHeight="1" s="42">
      <c r="A97" s="51" t="inlineStr">
        <is>
          <t>Stretch marks treatment session</t>
        </is>
      </c>
      <c r="B97" s="52" t="inlineStr">
        <is>
          <t>علاج التشققات الجلدية (خطوط التمدد) — جلسة</t>
        </is>
      </c>
      <c r="C97" s="51" t="inlineStr">
        <is>
          <t>Stretch Marks</t>
        </is>
      </c>
      <c r="D97" s="51" t="inlineStr">
        <is>
          <t>Dermapen 4 + PRP centrifuge</t>
        </is>
      </c>
      <c r="E97" s="53" t="n">
        <v>0</v>
      </c>
      <c r="F97" s="53" t="n">
        <v>0</v>
      </c>
      <c r="G97" s="53" t="n">
        <v>50</v>
      </c>
      <c r="H97" s="54" t="n">
        <v>13.5</v>
      </c>
      <c r="I97" s="54" t="n">
        <v>2.38</v>
      </c>
      <c r="J97" s="54" t="n">
        <v>0.2</v>
      </c>
      <c r="K97" s="54" t="n">
        <v>12.03</v>
      </c>
      <c r="L97" s="55">
        <f>SUM(H97:K97)</f>
        <v/>
      </c>
    </row>
    <row r="98" ht="15" customHeight="1" s="42">
      <c r="A98" s="56" t="inlineStr">
        <is>
          <t>Subtotal — average per treatment</t>
        </is>
      </c>
      <c r="B98" s="44" t="n"/>
      <c r="C98" s="44" t="n"/>
      <c r="D98" s="44" t="n"/>
      <c r="E98" s="44" t="n"/>
      <c r="F98" s="44" t="n"/>
      <c r="G98" s="44" t="n"/>
      <c r="H98" s="57">
        <f>ROUND(AVERAGE(H90:H97),2)</f>
        <v/>
      </c>
      <c r="I98" s="57">
        <f>ROUND(AVERAGE(I90:I97),2)</f>
        <v/>
      </c>
      <c r="J98" s="57">
        <f>ROUND(AVERAGE(J90:J97),2)</f>
        <v/>
      </c>
      <c r="K98" s="57">
        <f>ROUND(AVERAGE(K90:K97),2)</f>
        <v/>
      </c>
      <c r="L98" s="57">
        <f>ROUND(AVERAGE(L90:L97),2)</f>
        <v/>
      </c>
    </row>
    <row r="99" ht="15" customHeight="1" s="42">
      <c r="A99" s="44" t="n"/>
      <c r="B99" s="44" t="n"/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</row>
    <row r="100" ht="15" customHeight="1" s="42">
      <c r="A100" s="47" t="inlineStr">
        <is>
          <t>Equipment Register — capex distributed per session</t>
        </is>
      </c>
      <c r="B100" s="44" t="n"/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</row>
    <row r="101" ht="15" customHeight="1" s="42">
      <c r="A101" s="58" t="inlineStr">
        <is>
          <t>Machine</t>
        </is>
      </c>
      <c r="B101" s="44" t="n"/>
      <c r="C101" s="44" t="n"/>
      <c r="D101" s="44" t="n"/>
      <c r="E101" s="44" t="n"/>
      <c r="F101" s="44" t="n"/>
      <c r="G101" s="44" t="n"/>
      <c r="H101" s="58" t="inlineStr">
        <is>
          <t>Capex (KD)</t>
        </is>
      </c>
      <c r="I101" s="58" t="inlineStr">
        <is>
          <t>Sessions / Year</t>
        </is>
      </c>
      <c r="J101" s="58" t="inlineStr">
        <is>
          <t>Dep / Session KD</t>
        </is>
      </c>
      <c r="K101" s="44" t="n"/>
      <c r="L101" s="44" t="n"/>
    </row>
    <row r="102" ht="15" customHeight="1" s="42">
      <c r="A102" s="51" t="inlineStr">
        <is>
          <t>Cynosure Elite IQ (LHR)</t>
        </is>
      </c>
      <c r="B102" s="44" t="n"/>
      <c r="C102" s="44" t="n"/>
      <c r="D102" s="44" t="n"/>
      <c r="E102" s="44" t="n"/>
      <c r="F102" s="44" t="n"/>
      <c r="G102" s="44" t="n"/>
      <c r="H102" s="59" t="n">
        <v>32000</v>
      </c>
      <c r="I102" s="59" t="n">
        <v>2400</v>
      </c>
      <c r="J102" s="60">
        <f>ROUND(H102/I102/5,3)</f>
        <v/>
      </c>
      <c r="K102" s="44" t="n"/>
      <c r="L102" s="44" t="n"/>
    </row>
    <row r="103" ht="15" customHeight="1" s="42">
      <c r="A103" s="51" t="inlineStr">
        <is>
          <t>Lutronic Hollywood Spectra (Q-Switch)</t>
        </is>
      </c>
      <c r="B103" s="44" t="n"/>
      <c r="C103" s="44" t="n"/>
      <c r="D103" s="44" t="n"/>
      <c r="E103" s="44" t="n"/>
      <c r="F103" s="44" t="n"/>
      <c r="G103" s="44" t="n"/>
      <c r="H103" s="59" t="n">
        <v>24000</v>
      </c>
      <c r="I103" s="59" t="n">
        <v>1500</v>
      </c>
      <c r="J103" s="60">
        <f>ROUND(H103/I103/5,3)</f>
        <v/>
      </c>
      <c r="K103" s="44" t="n"/>
      <c r="L103" s="44" t="n"/>
    </row>
    <row r="104" ht="15" customHeight="1" s="42">
      <c r="A104" s="51" t="inlineStr">
        <is>
          <t>Lutronic Genius (RF Microneedling)</t>
        </is>
      </c>
      <c r="B104" s="44" t="n"/>
      <c r="C104" s="44" t="n"/>
      <c r="D104" s="44" t="n"/>
      <c r="E104" s="44" t="n"/>
      <c r="F104" s="44" t="n"/>
      <c r="G104" s="44" t="n"/>
      <c r="H104" s="59" t="n">
        <v>18000</v>
      </c>
      <c r="I104" s="59" t="n">
        <v>800</v>
      </c>
      <c r="J104" s="60">
        <f>ROUND(H104/I104/5,3)</f>
        <v/>
      </c>
      <c r="K104" s="44" t="n"/>
      <c r="L104" s="44" t="n"/>
    </row>
    <row r="105" ht="15" customHeight="1" s="42">
      <c r="A105" s="51" t="inlineStr">
        <is>
          <t>Lutronic Ultra Lasemd (Thulium)</t>
        </is>
      </c>
      <c r="B105" s="44" t="n"/>
      <c r="C105" s="44" t="n"/>
      <c r="D105" s="44" t="n"/>
      <c r="E105" s="44" t="n"/>
      <c r="F105" s="44" t="n"/>
      <c r="G105" s="44" t="n"/>
      <c r="H105" s="59" t="n">
        <v>22000</v>
      </c>
      <c r="I105" s="59" t="n">
        <v>1200</v>
      </c>
      <c r="J105" s="60">
        <f>ROUND(H105/I105/5,3)</f>
        <v/>
      </c>
      <c r="K105" s="44" t="n"/>
      <c r="L105" s="44" t="n"/>
    </row>
    <row r="106" ht="15" customHeight="1" s="42">
      <c r="A106" s="51" t="inlineStr">
        <is>
          <t>XERF Monopolar RF</t>
        </is>
      </c>
      <c r="B106" s="44" t="n"/>
      <c r="C106" s="44" t="n"/>
      <c r="D106" s="44" t="n"/>
      <c r="E106" s="44" t="n"/>
      <c r="F106" s="44" t="n"/>
      <c r="G106" s="44" t="n"/>
      <c r="H106" s="59" t="n">
        <v>28000</v>
      </c>
      <c r="I106" s="59" t="n">
        <v>700</v>
      </c>
      <c r="J106" s="60">
        <f>ROUND(H106/I106/5,3)</f>
        <v/>
      </c>
      <c r="K106" s="44" t="n"/>
      <c r="L106" s="44" t="n"/>
    </row>
    <row r="107" ht="15" customHeight="1" s="42">
      <c r="A107" s="51" t="inlineStr">
        <is>
          <t>Hydra Beauty (EunSung)</t>
        </is>
      </c>
      <c r="B107" s="44" t="n"/>
      <c r="C107" s="44" t="n"/>
      <c r="D107" s="44" t="n"/>
      <c r="E107" s="44" t="n"/>
      <c r="F107" s="44" t="n"/>
      <c r="G107" s="44" t="n"/>
      <c r="H107" s="59" t="n">
        <v>2800</v>
      </c>
      <c r="I107" s="59" t="n">
        <v>2500</v>
      </c>
      <c r="J107" s="60">
        <f>ROUND(H107/I107/5,3)</f>
        <v/>
      </c>
      <c r="K107" s="44" t="n"/>
      <c r="L107" s="44" t="n"/>
    </row>
    <row r="108" ht="15" customHeight="1" s="42">
      <c r="A108" s="51" t="inlineStr">
        <is>
          <t>Dermapen 4 + PRP centrifuge</t>
        </is>
      </c>
      <c r="B108" s="44" t="n"/>
      <c r="C108" s="44" t="n"/>
      <c r="D108" s="44" t="n"/>
      <c r="E108" s="44" t="n"/>
      <c r="F108" s="44" t="n"/>
      <c r="G108" s="44" t="n"/>
      <c r="H108" s="59" t="n">
        <v>1500</v>
      </c>
      <c r="I108" s="59" t="n">
        <v>1500</v>
      </c>
      <c r="J108" s="60">
        <f>ROUND(H108/I108/5,3)</f>
        <v/>
      </c>
      <c r="K108" s="44" t="n"/>
      <c r="L108" s="44" t="n"/>
    </row>
    <row r="109" ht="15" customHeight="1" s="42">
      <c r="A109" s="51" t="inlineStr">
        <is>
          <t>Minor surgical kit (cautery/cryo)</t>
        </is>
      </c>
      <c r="B109" s="44" t="n"/>
      <c r="C109" s="44" t="n"/>
      <c r="D109" s="44" t="n"/>
      <c r="E109" s="44" t="n"/>
      <c r="F109" s="44" t="n"/>
      <c r="G109" s="44" t="n"/>
      <c r="H109" s="59" t="n">
        <v>500</v>
      </c>
      <c r="I109" s="59" t="n">
        <v>800</v>
      </c>
      <c r="J109" s="60">
        <f>ROUND(H109/I109/5,3)</f>
        <v/>
      </c>
      <c r="K109" s="44" t="n"/>
      <c r="L109" s="44" t="n"/>
    </row>
    <row r="110" ht="15" customHeight="1" s="42">
      <c r="A110" s="51" t="inlineStr">
        <is>
          <t>HIFU / Threads kit (Stage 2 placeholder)</t>
        </is>
      </c>
      <c r="B110" s="44" t="n"/>
      <c r="C110" s="44" t="n"/>
      <c r="D110" s="44" t="n"/>
      <c r="E110" s="44" t="n"/>
      <c r="F110" s="44" t="n"/>
      <c r="G110" s="44" t="n"/>
      <c r="H110" s="59" t="n">
        <v>5000</v>
      </c>
      <c r="I110" s="59" t="n">
        <v>600</v>
      </c>
      <c r="J110" s="60">
        <f>ROUND(H110/I110/5,3)</f>
        <v/>
      </c>
      <c r="K110" s="44" t="n"/>
      <c r="L110" s="44" t="n"/>
    </row>
    <row r="111" ht="15" customHeight="1" s="42">
      <c r="A111" s="56" t="inlineStr">
        <is>
          <t>Total equipment capex</t>
        </is>
      </c>
      <c r="B111" s="44" t="n"/>
      <c r="C111" s="44" t="n"/>
      <c r="D111" s="44" t="n"/>
      <c r="E111" s="44" t="n"/>
      <c r="F111" s="44" t="n"/>
      <c r="G111" s="44" t="n"/>
      <c r="H111" s="61">
        <f>SUM(H102:H110)</f>
        <v/>
      </c>
      <c r="I111" s="44" t="n"/>
      <c r="J111" s="44" t="n"/>
      <c r="K111" s="44" t="n"/>
      <c r="L111" s="44" t="n"/>
    </row>
    <row r="112" ht="15" customHeight="1" s="42">
      <c r="A112" s="44" t="n"/>
      <c r="B112" s="44" t="n"/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</row>
    <row r="113" ht="15" customHeight="1" s="42">
      <c r="A113" s="47" t="inlineStr">
        <is>
          <t>Summary</t>
        </is>
      </c>
      <c r="B113" s="44" t="n"/>
      <c r="C113" s="44" t="n"/>
      <c r="D113" s="44" t="n"/>
      <c r="E113" s="44" t="n"/>
      <c r="F113" s="44" t="n"/>
      <c r="G113" s="44" t="n"/>
      <c r="H113" s="44" t="n"/>
      <c r="I113" s="44" t="n"/>
      <c r="J113" s="44" t="n"/>
      <c r="K113" s="44" t="n"/>
      <c r="L113" s="44" t="n"/>
    </row>
    <row r="114" ht="15" customHeight="1" s="42">
      <c r="A114" s="58" t="inlineStr">
        <is>
          <t>Provider</t>
        </is>
      </c>
      <c r="B114" s="58" t="inlineStr">
        <is>
          <t>Treatments</t>
        </is>
      </c>
      <c r="C114" s="44" t="n"/>
      <c r="D114" s="44" t="n"/>
      <c r="E114" s="44" t="n"/>
      <c r="F114" s="44" t="n"/>
      <c r="G114" s="44" t="n"/>
      <c r="H114" s="58" t="inlineStr">
        <is>
          <t>Avg Consumables</t>
        </is>
      </c>
      <c r="I114" s="58" t="inlineStr">
        <is>
          <t>Avg Labour</t>
        </is>
      </c>
      <c r="J114" s="58" t="inlineStr">
        <is>
          <t>Avg Equip Dep</t>
        </is>
      </c>
      <c r="K114" s="58" t="inlineStr">
        <is>
          <t>Avg Overhead</t>
        </is>
      </c>
      <c r="L114" s="58" t="inlineStr">
        <is>
          <t>Avg Total Cost</t>
        </is>
      </c>
    </row>
    <row r="115" ht="15" customHeight="1" s="42">
      <c r="A115" s="62" t="inlineStr">
        <is>
          <t>Dr. Kareem</t>
        </is>
      </c>
      <c r="B115" s="62" t="n">
        <v>53</v>
      </c>
      <c r="C115" s="44" t="n"/>
      <c r="D115" s="44" t="n"/>
      <c r="E115" s="44" t="n"/>
      <c r="F115" s="44" t="n"/>
      <c r="G115" s="44" t="n"/>
      <c r="H115" s="54">
        <f>ROUND(AVERAGE(H6:H58),2)</f>
        <v/>
      </c>
      <c r="I115" s="54">
        <f>ROUND(AVERAGE(I6:I58),2)</f>
        <v/>
      </c>
      <c r="J115" s="54">
        <f>ROUND(AVERAGE(J6:J58),2)</f>
        <v/>
      </c>
      <c r="K115" s="54">
        <f>ROUND(AVERAGE(K6:K58),2)</f>
        <v/>
      </c>
      <c r="L115" s="54">
        <f>ROUND(AVERAGE(L6:L58),2)</f>
        <v/>
      </c>
    </row>
    <row r="116" ht="15" customHeight="1" s="42">
      <c r="A116" s="62" t="inlineStr">
        <is>
          <t>Nurse / Laser Technician</t>
        </is>
      </c>
      <c r="B116" s="62" t="n">
        <v>23</v>
      </c>
      <c r="C116" s="44" t="n"/>
      <c r="D116" s="44" t="n"/>
      <c r="E116" s="44" t="n"/>
      <c r="F116" s="44" t="n"/>
      <c r="G116" s="44" t="n"/>
      <c r="H116" s="54">
        <f>ROUND(AVERAGE(H63:H85),2)</f>
        <v/>
      </c>
      <c r="I116" s="54">
        <f>ROUND(AVERAGE(I63:I85),2)</f>
        <v/>
      </c>
      <c r="J116" s="54">
        <f>ROUND(AVERAGE(J63:J85),2)</f>
        <v/>
      </c>
      <c r="K116" s="54">
        <f>ROUND(AVERAGE(K63:K85),2)</f>
        <v/>
      </c>
      <c r="L116" s="54">
        <f>ROUND(AVERAGE(L63:L85),2)</f>
        <v/>
      </c>
    </row>
    <row r="117" ht="15" customHeight="1" s="42">
      <c r="A117" s="62" t="inlineStr">
        <is>
          <t>Beautician</t>
        </is>
      </c>
      <c r="B117" s="62" t="n">
        <v>8</v>
      </c>
      <c r="C117" s="44" t="n"/>
      <c r="D117" s="44" t="n"/>
      <c r="E117" s="44" t="n"/>
      <c r="F117" s="44" t="n"/>
      <c r="G117" s="44" t="n"/>
      <c r="H117" s="54">
        <f>ROUND(AVERAGE(H90:H97),2)</f>
        <v/>
      </c>
      <c r="I117" s="54">
        <f>ROUND(AVERAGE(I90:I97),2)</f>
        <v/>
      </c>
      <c r="J117" s="54">
        <f>ROUND(AVERAGE(J90:J97),2)</f>
        <v/>
      </c>
      <c r="K117" s="54">
        <f>ROUND(AVERAGE(K90:K97),2)</f>
        <v/>
      </c>
      <c r="L117" s="54">
        <f>ROUND(AVERAGE(L90:L97),2)</f>
        <v/>
      </c>
    </row>
    <row r="118" ht="15" customHeight="1" s="42">
      <c r="A118" s="44" t="n"/>
      <c r="B118" s="44" t="n"/>
      <c r="C118" s="44" t="n"/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</row>
    <row r="119" ht="15" customHeight="1" s="42">
      <c r="A119" s="63" t="inlineStr">
        <is>
          <t>How to read the cost columns:</t>
        </is>
      </c>
      <c r="B119" s="44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</row>
    <row r="120" ht="15" customHeight="1" s="42">
      <c r="A120" s="63" t="inlineStr">
        <is>
          <t>· العلاج — patient-facing Arabic name, ready for the price menu and app.</t>
        </is>
      </c>
      <c r="B120" s="44" t="n"/>
      <c r="C120" s="44" t="n"/>
      <c r="D120" s="44" t="n"/>
      <c r="E120" s="44" t="n"/>
      <c r="F120" s="44" t="n"/>
      <c r="G120" s="44" t="n"/>
      <c r="H120" s="44" t="n"/>
      <c r="I120" s="44" t="n"/>
      <c r="J120" s="44" t="n"/>
      <c r="K120" s="44" t="n"/>
      <c r="L120" s="44" t="n"/>
    </row>
    <row r="121" ht="15" customHeight="1" s="42">
      <c r="A121" s="63" t="inlineStr">
        <is>
          <t>· Equipment Required — the machine the session runs on. 'None' = injection-room treatments needing only trays, centrifuge or topicals.</t>
        </is>
      </c>
      <c r="B121" s="44" t="n"/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44" t="n"/>
    </row>
    <row r="122" ht="15" customHeight="1" s="42">
      <c r="A122" s="63" t="inlineStr">
        <is>
          <t>· Consumables KD — product used in the session at EVA procurement cost.</t>
        </is>
      </c>
      <c r="B122" s="44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</row>
    <row r="123" ht="15" customHeight="1" s="42">
      <c r="A123" s="63" t="inlineStr">
        <is>
          <t>· Labour KD — manpower cost of the minutes spent, priced from monthly salaries (Dr. Kareem KD 1,750, nurse, beautician), incl. reception time.</t>
        </is>
      </c>
      <c r="B123" s="44" t="n"/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</row>
    <row r="124" ht="15" customHeight="1" s="42">
      <c r="A124" s="63" t="inlineStr">
        <is>
          <t>· Equip Dep KD — the machine's capex distributed per session over 5 years at the capacity in the Equipment Register.</t>
        </is>
      </c>
      <c r="B124" s="44" t="n"/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</row>
    <row r="125" ht="15" customHeight="1" s="42">
      <c r="A125" s="63" t="inlineStr">
        <is>
          <t>· Overhead KD — share of rent (KD 2,690/mo Floor 8), utilities and admin, allocated by room-minutes occupied.</t>
        </is>
      </c>
      <c r="B125" s="44" t="n"/>
      <c r="C125" s="44" t="n"/>
      <c r="D125" s="44" t="n"/>
      <c r="E125" s="44" t="n"/>
      <c r="F125" s="44" t="n"/>
      <c r="G125" s="44" t="n"/>
      <c r="H125" s="44" t="n"/>
      <c r="I125" s="44" t="n"/>
      <c r="J125" s="44" t="n"/>
      <c r="K125" s="44" t="n"/>
      <c r="L125" s="44" t="n"/>
    </row>
    <row r="126" ht="15" customHeight="1" s="42">
      <c r="A126" s="63" t="inlineStr">
        <is>
          <t>· TOTAL COST = sum of the four components.</t>
        </is>
      </c>
      <c r="B126" s="44" t="n"/>
      <c r="C126" s="44" t="n"/>
      <c r="D126" s="44" t="n"/>
      <c r="E126" s="44" t="n"/>
      <c r="F126" s="44" t="n"/>
      <c r="G126" s="44" t="n"/>
      <c r="H126" s="44" t="n"/>
      <c r="I126" s="44" t="n"/>
      <c r="J126" s="44" t="n"/>
      <c r="K126" s="44" t="n"/>
      <c r="L126" s="44" t="n"/>
    </row>
    <row r="127" ht="15" customHeight="1" s="42">
      <c r="A127" s="44" t="n"/>
      <c r="B127" s="44" t="n"/>
      <c r="C127" s="44" t="n"/>
      <c r="D127" s="44" t="n"/>
      <c r="E127" s="44" t="n"/>
      <c r="F127" s="44" t="n"/>
      <c r="G127" s="44" t="n"/>
      <c r="H127" s="44" t="n"/>
      <c r="I127" s="44" t="n"/>
      <c r="J127" s="44" t="n"/>
      <c r="K127" s="44" t="n"/>
      <c r="L127" s="44" t="n"/>
    </row>
    <row r="128" ht="15" customHeight="1" s="42">
      <c r="A128" s="64" t="inlineStr">
        <is>
          <t>● evamedical.kw · Internal document</t>
        </is>
      </c>
      <c r="B128" s="44" t="n"/>
      <c r="C128" s="44" t="n"/>
      <c r="D128" s="44" t="n"/>
      <c r="E128" s="44" t="n"/>
      <c r="F128" s="44" t="n"/>
      <c r="G128" s="44" t="n"/>
      <c r="H128" s="44" t="n"/>
      <c r="I128" s="44" t="n"/>
      <c r="J128" s="44" t="n"/>
      <c r="K128" s="44" t="n"/>
      <c r="L128" s="4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0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8" customWidth="1" style="41" min="1" max="1"/>
    <col width="30" customWidth="1" style="41" min="2" max="2"/>
    <col width="16" customWidth="1" style="41" min="3" max="3"/>
    <col width="11" customWidth="1" style="41" min="4" max="4"/>
    <col width="13" customWidth="1" style="41" min="5" max="5"/>
    <col width="22" customWidth="1" style="41" min="6" max="6"/>
    <col width="10" customWidth="1" style="41" min="7" max="7"/>
    <col width="13" customWidth="1" style="41" min="8" max="8"/>
    <col width="26" customWidth="1" style="41" min="9" max="9"/>
    <col width="13" customWidth="1" style="41" min="10" max="10"/>
  </cols>
  <sheetData>
    <row r="1" ht="19.7" customHeight="1" s="42">
      <c r="A1" s="43" t="inlineStr">
        <is>
          <t>EVA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5" t="inlineStr">
        <is>
          <t>First Inventory Order — Consumables &amp; Injectables</t>
        </is>
      </c>
    </row>
    <row r="2" ht="15" customHeight="1" s="42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6" t="inlineStr">
        <is>
          <t>Internal · 4 June 2026 · Prices from Alia's supplier quotes (Master Data 22 Apr) + Pricing Study v3</t>
        </is>
      </c>
    </row>
    <row r="3" ht="15" customHeight="1" s="42">
      <c r="A3" s="44" t="n"/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</row>
    <row r="4" ht="15" customHeight="1" s="42">
      <c r="A4" s="47" t="inlineStr">
        <is>
          <t>A · Botulinum Toxins</t>
        </is>
      </c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 ht="15" customHeight="1" s="42">
      <c r="A5" s="65" t="inlineStr">
        <is>
          <t>Item</t>
        </is>
      </c>
      <c r="B5" s="65" t="inlineStr">
        <is>
          <t>Brand / Product</t>
        </is>
      </c>
      <c r="C5" s="65" t="inlineStr">
        <is>
          <t>Unit</t>
        </is>
      </c>
      <c r="D5" s="66" t="inlineStr">
        <is>
          <t>Unit Cost KD</t>
        </is>
      </c>
      <c r="E5" s="65" t="inlineStr">
        <is>
          <t>MOQ / Offer</t>
        </is>
      </c>
      <c r="F5" s="65" t="inlineStr">
        <is>
          <t>First Order</t>
        </is>
      </c>
      <c r="G5" s="66" t="inlineStr">
        <is>
          <t>Qty</t>
        </is>
      </c>
      <c r="H5" s="66" t="inlineStr">
        <is>
          <t>Total KD</t>
        </is>
      </c>
      <c r="I5" s="65" t="inlineStr">
        <is>
          <t>Kuwait Supplier</t>
        </is>
      </c>
      <c r="J5" s="65" t="inlineStr">
        <is>
          <t>Status</t>
        </is>
      </c>
    </row>
    <row r="6" ht="15" customHeight="1" s="42">
      <c r="A6" s="51" t="inlineStr">
        <is>
          <t>Botulinum toxin A — premium</t>
        </is>
      </c>
      <c r="B6" s="51" t="inlineStr">
        <is>
          <t>Allergan BOTOX</t>
        </is>
      </c>
      <c r="C6" s="51" t="inlineStr">
        <is>
          <t>100u vial</t>
        </is>
      </c>
      <c r="D6" s="54" t="n">
        <v>53.24</v>
      </c>
      <c r="E6" s="51" t="inlineStr">
        <is>
          <t>Min 15 boxes</t>
        </is>
      </c>
      <c r="F6" s="51" t="inlineStr">
        <is>
          <t>15 vials</t>
        </is>
      </c>
      <c r="G6" s="53" t="n">
        <v>15</v>
      </c>
      <c r="H6" s="54">
        <f>D6*G6</f>
        <v/>
      </c>
      <c r="I6" s="51" t="inlineStr">
        <is>
          <t>Al Mojil Drug Co.</t>
        </is>
      </c>
      <c r="J6" s="67" t="inlineStr">
        <is>
          <t>QUOTED</t>
        </is>
      </c>
    </row>
    <row r="7" ht="15" customHeight="1" s="42">
      <c r="A7" s="51" t="inlineStr">
        <is>
          <t>Botulinum toxin A — value tier</t>
        </is>
      </c>
      <c r="B7" s="51" t="inlineStr">
        <is>
          <t>Botulax (Hugel)</t>
        </is>
      </c>
      <c r="C7" s="51" t="inlineStr">
        <is>
          <t>100u vial</t>
        </is>
      </c>
      <c r="D7" s="54" t="n">
        <v>45.26</v>
      </c>
      <c r="E7" s="51" t="inlineStr">
        <is>
          <t>10 + 4 FOC</t>
        </is>
      </c>
      <c r="F7" s="51" t="inlineStr">
        <is>
          <t>10 vials (14 with FOC)</t>
        </is>
      </c>
      <c r="G7" s="53" t="n">
        <v>10</v>
      </c>
      <c r="H7" s="54">
        <f>D7*G7</f>
        <v/>
      </c>
      <c r="I7" s="51" t="inlineStr">
        <is>
          <t>Ali Abd Al Wahab Al Mutawa</t>
        </is>
      </c>
      <c r="J7" s="67" t="inlineStr">
        <is>
          <t>QUOTED</t>
        </is>
      </c>
    </row>
    <row r="8" ht="15" customHeight="1" s="42">
      <c r="A8" s="51" t="inlineStr">
        <is>
          <t>Botulinum toxin — alternative</t>
        </is>
      </c>
      <c r="B8" s="51" t="inlineStr">
        <is>
          <t>Dysport (Ipsen)</t>
        </is>
      </c>
      <c r="C8" s="51" t="inlineStr">
        <is>
          <t>vial</t>
        </is>
      </c>
      <c r="D8" s="54" t="n">
        <v>24</v>
      </c>
      <c r="E8" s="51" t="inlineStr">
        <is>
          <t>Awaiting offer</t>
        </is>
      </c>
      <c r="F8" s="51" t="inlineStr">
        <is>
          <t>5 vials — optional</t>
        </is>
      </c>
      <c r="G8" s="53" t="n">
        <v>5</v>
      </c>
      <c r="H8" s="54">
        <f>D8*G8</f>
        <v/>
      </c>
      <c r="I8" s="51" t="inlineStr">
        <is>
          <t>TBC — Ipsen agent</t>
        </is>
      </c>
      <c r="J8" s="68" t="inlineStr">
        <is>
          <t>WAITING OFFER</t>
        </is>
      </c>
    </row>
    <row r="9" ht="15" customHeight="1" s="42">
      <c r="A9" s="56" t="inlineStr">
        <is>
          <t>Subtotal — Botulinum Toxins</t>
        </is>
      </c>
      <c r="B9" s="44" t="n"/>
      <c r="C9" s="44" t="n"/>
      <c r="D9" s="44" t="n"/>
      <c r="E9" s="44" t="n"/>
      <c r="F9" s="44" t="n"/>
      <c r="G9" s="44" t="n"/>
      <c r="H9" s="57">
        <f>SUM(H6:H8)</f>
        <v/>
      </c>
      <c r="I9" s="44" t="n"/>
      <c r="J9" s="44" t="n"/>
    </row>
    <row r="10" ht="15" customHeight="1" s="42">
      <c r="A10" s="44" t="n"/>
      <c r="B10" s="44" t="n"/>
      <c r="C10" s="44" t="n"/>
      <c r="D10" s="44" t="n"/>
      <c r="E10" s="44" t="n"/>
      <c r="F10" s="44" t="n"/>
      <c r="G10" s="44" t="n"/>
      <c r="H10" s="44" t="n"/>
      <c r="I10" s="44" t="n"/>
      <c r="J10" s="44" t="n"/>
    </row>
    <row r="11" ht="15" customHeight="1" s="42">
      <c r="A11" s="47" t="inlineStr">
        <is>
          <t>B · HA Fillers</t>
        </is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42">
      <c r="A12" s="65" t="inlineStr">
        <is>
          <t>Item</t>
        </is>
      </c>
      <c r="B12" s="65" t="inlineStr">
        <is>
          <t>Brand / Product</t>
        </is>
      </c>
      <c r="C12" s="65" t="inlineStr">
        <is>
          <t>Unit</t>
        </is>
      </c>
      <c r="D12" s="66" t="inlineStr">
        <is>
          <t>Unit Cost KD</t>
        </is>
      </c>
      <c r="E12" s="65" t="inlineStr">
        <is>
          <t>MOQ / Offer</t>
        </is>
      </c>
      <c r="F12" s="65" t="inlineStr">
        <is>
          <t>First Order</t>
        </is>
      </c>
      <c r="G12" s="66" t="inlineStr">
        <is>
          <t>Qty</t>
        </is>
      </c>
      <c r="H12" s="66" t="inlineStr">
        <is>
          <t>Total KD</t>
        </is>
      </c>
      <c r="I12" s="65" t="inlineStr">
        <is>
          <t>Kuwait Supplier</t>
        </is>
      </c>
      <c r="J12" s="65" t="inlineStr">
        <is>
          <t>Status</t>
        </is>
      </c>
    </row>
    <row r="13" ht="15" customHeight="1" s="42">
      <c r="A13" s="51" t="inlineStr">
        <is>
          <t>Premium filler — lips</t>
        </is>
      </c>
      <c r="B13" s="51" t="inlineStr">
        <is>
          <t>Juvederm Ultra 2 (Allergan)</t>
        </is>
      </c>
      <c r="C13" s="51" t="inlineStr">
        <is>
          <t>1ml box</t>
        </is>
      </c>
      <c r="D13" s="54" t="n">
        <v>44.5</v>
      </c>
      <c r="E13" s="51" t="inlineStr">
        <is>
          <t>Part of 15-box Juvederm MOQ</t>
        </is>
      </c>
      <c r="F13" s="51" t="inlineStr">
        <is>
          <t>5 boxes</t>
        </is>
      </c>
      <c r="G13" s="53" t="n">
        <v>5</v>
      </c>
      <c r="H13" s="54">
        <f>D13*G13</f>
        <v/>
      </c>
      <c r="I13" s="51" t="inlineStr">
        <is>
          <t>Al Mojil Drug Co.</t>
        </is>
      </c>
      <c r="J13" s="67" t="inlineStr">
        <is>
          <t>QUOTED</t>
        </is>
      </c>
    </row>
    <row r="14" ht="15" customHeight="1" s="42">
      <c r="A14" s="51" t="inlineStr">
        <is>
          <t>Premium filler — mid-depth</t>
        </is>
      </c>
      <c r="B14" s="51" t="inlineStr">
        <is>
          <t>Juvederm Ultra 3</t>
        </is>
      </c>
      <c r="C14" s="51" t="inlineStr">
        <is>
          <t>2×1ml box</t>
        </is>
      </c>
      <c r="D14" s="54" t="n">
        <v>61.63</v>
      </c>
      <c r="E14" s="51" t="inlineStr">
        <is>
          <t>Same MOQ</t>
        </is>
      </c>
      <c r="F14" s="51" t="inlineStr">
        <is>
          <t>3 boxes</t>
        </is>
      </c>
      <c r="G14" s="53" t="n">
        <v>3</v>
      </c>
      <c r="H14" s="54">
        <f>D14*G14</f>
        <v/>
      </c>
      <c r="I14" s="51" t="inlineStr">
        <is>
          <t>Al Mojil Drug Co.</t>
        </is>
      </c>
      <c r="J14" s="67" t="inlineStr">
        <is>
          <t>QUOTED</t>
        </is>
      </c>
    </row>
    <row r="15" ht="15" customHeight="1" s="42">
      <c r="A15" s="51" t="inlineStr">
        <is>
          <t>Premium filler — cheeks</t>
        </is>
      </c>
      <c r="B15" s="51" t="inlineStr">
        <is>
          <t>Juvederm Voluma</t>
        </is>
      </c>
      <c r="C15" s="51" t="inlineStr">
        <is>
          <t>2×1ml box</t>
        </is>
      </c>
      <c r="D15" s="54" t="n">
        <v>74.26000000000001</v>
      </c>
      <c r="E15" s="51" t="inlineStr">
        <is>
          <t>Same MOQ</t>
        </is>
      </c>
      <c r="F15" s="51" t="inlineStr">
        <is>
          <t>4 boxes</t>
        </is>
      </c>
      <c r="G15" s="53" t="n">
        <v>4</v>
      </c>
      <c r="H15" s="54">
        <f>D15*G15</f>
        <v/>
      </c>
      <c r="I15" s="51" t="inlineStr">
        <is>
          <t>Al Mojil Drug Co.</t>
        </is>
      </c>
      <c r="J15" s="67" t="inlineStr">
        <is>
          <t>QUOTED</t>
        </is>
      </c>
    </row>
    <row r="16" ht="15" customHeight="1" s="42">
      <c r="A16" s="51" t="inlineStr">
        <is>
          <t>Premium filler — jawline/chin</t>
        </is>
      </c>
      <c r="B16" s="51" t="inlineStr">
        <is>
          <t>Juvederm Volux</t>
        </is>
      </c>
      <c r="C16" s="51" t="inlineStr">
        <is>
          <t>2×1ml box</t>
        </is>
      </c>
      <c r="D16" s="54" t="n">
        <v>79.70999999999999</v>
      </c>
      <c r="E16" s="51" t="inlineStr">
        <is>
          <t>Same MOQ</t>
        </is>
      </c>
      <c r="F16" s="51" t="inlineStr">
        <is>
          <t>3 boxes</t>
        </is>
      </c>
      <c r="G16" s="53" t="n">
        <v>3</v>
      </c>
      <c r="H16" s="54">
        <f>D16*G16</f>
        <v/>
      </c>
      <c r="I16" s="51" t="inlineStr">
        <is>
          <t>Al Mojil Drug Co.</t>
        </is>
      </c>
      <c r="J16" s="67" t="inlineStr">
        <is>
          <t>QUOTED</t>
        </is>
      </c>
    </row>
    <row r="17" ht="15" customHeight="1" s="42">
      <c r="A17" s="51" t="inlineStr">
        <is>
          <t>Entry-tier filler</t>
        </is>
      </c>
      <c r="B17" s="51" t="inlineStr">
        <is>
          <t>AMALIAN</t>
        </is>
      </c>
      <c r="C17" s="51" t="inlineStr">
        <is>
          <t>1ml</t>
        </is>
      </c>
      <c r="D17" s="54" t="n">
        <v>29</v>
      </c>
      <c r="E17" s="51" t="inlineStr">
        <is>
          <t>—</t>
        </is>
      </c>
      <c r="F17" s="51" t="inlineStr">
        <is>
          <t>10 syringes</t>
        </is>
      </c>
      <c r="G17" s="53" t="n">
        <v>10</v>
      </c>
      <c r="H17" s="54">
        <f>D17*G17</f>
        <v/>
      </c>
      <c r="I17" s="51" t="inlineStr">
        <is>
          <t>AMICO</t>
        </is>
      </c>
      <c r="J17" s="67" t="inlineStr">
        <is>
          <t>QUOTED</t>
        </is>
      </c>
    </row>
    <row r="18" ht="15" customHeight="1" s="42">
      <c r="A18" s="51" t="inlineStr">
        <is>
          <t>Budget filler (promo work)</t>
        </is>
      </c>
      <c r="B18" s="51" t="inlineStr">
        <is>
          <t>Revolax Deep (Class B)</t>
        </is>
      </c>
      <c r="C18" s="51" t="inlineStr">
        <is>
          <t>1.1ml</t>
        </is>
      </c>
      <c r="D18" s="54" t="n">
        <v>23</v>
      </c>
      <c r="E18" s="51" t="inlineStr">
        <is>
          <t>11 + 4 FOC</t>
        </is>
      </c>
      <c r="F18" s="51" t="inlineStr">
        <is>
          <t>11 syringes (15 w/ FOC)</t>
        </is>
      </c>
      <c r="G18" s="53" t="n">
        <v>11</v>
      </c>
      <c r="H18" s="54">
        <f>D18*G18</f>
        <v/>
      </c>
      <c r="I18" s="51" t="inlineStr">
        <is>
          <t>TBC — Korean-brand importer</t>
        </is>
      </c>
      <c r="J18" s="68" t="inlineStr">
        <is>
          <t>WAITING OFFER</t>
        </is>
      </c>
    </row>
    <row r="19" ht="15" customHeight="1" s="42">
      <c r="A19" s="51" t="inlineStr">
        <is>
          <t>Premium filler — alternative</t>
        </is>
      </c>
      <c r="B19" s="51" t="inlineStr">
        <is>
          <t>Restylane (Galderma)</t>
        </is>
      </c>
      <c r="C19" s="51" t="inlineStr">
        <is>
          <t>1ml</t>
        </is>
      </c>
      <c r="D19" s="54" t="n">
        <v>60</v>
      </c>
      <c r="E19" s="51" t="inlineStr">
        <is>
          <t>Awaiting offer</t>
        </is>
      </c>
      <c r="F19" s="51" t="inlineStr">
        <is>
          <t>5 syringes — optional</t>
        </is>
      </c>
      <c r="G19" s="53" t="n">
        <v>5</v>
      </c>
      <c r="H19" s="54">
        <f>D19*G19</f>
        <v/>
      </c>
      <c r="I19" s="51" t="inlineStr">
        <is>
          <t>Galderma — Kuwait agent unverified</t>
        </is>
      </c>
      <c r="J19" s="68" t="inlineStr">
        <is>
          <t>WAITING OFFER</t>
        </is>
      </c>
    </row>
    <row r="20" ht="15" customHeight="1" s="42">
      <c r="A20" s="51" t="inlineStr">
        <is>
          <t>Body filler</t>
        </is>
      </c>
      <c r="B20" s="51" t="inlineStr">
        <is>
          <t>OPERA 5 (body)</t>
        </is>
      </c>
      <c r="C20" s="51" t="inlineStr">
        <is>
          <t>10ml</t>
        </is>
      </c>
      <c r="D20" s="54" t="n">
        <v>32</v>
      </c>
      <c r="E20" s="51" t="inlineStr">
        <is>
          <t>KD 26 at 100+ boxes</t>
        </is>
      </c>
      <c r="F20" s="51" t="inlineStr">
        <is>
          <t>5 boxes</t>
        </is>
      </c>
      <c r="G20" s="53" t="n">
        <v>5</v>
      </c>
      <c r="H20" s="54">
        <f>D20*G20</f>
        <v/>
      </c>
      <c r="I20" s="51" t="inlineStr">
        <is>
          <t>Al Reyadah</t>
        </is>
      </c>
      <c r="J20" s="67" t="inlineStr">
        <is>
          <t>QUOTED</t>
        </is>
      </c>
    </row>
    <row r="21" ht="15" customHeight="1" s="42">
      <c r="A21" s="56" t="inlineStr">
        <is>
          <t>Subtotal — HA Fillers</t>
        </is>
      </c>
      <c r="B21" s="44" t="n"/>
      <c r="C21" s="44" t="n"/>
      <c r="D21" s="44" t="n"/>
      <c r="E21" s="44" t="n"/>
      <c r="F21" s="44" t="n"/>
      <c r="G21" s="44" t="n"/>
      <c r="H21" s="57">
        <f>SUM(H13:H20)</f>
        <v/>
      </c>
      <c r="I21" s="44" t="n"/>
      <c r="J21" s="44" t="n"/>
    </row>
    <row r="22" ht="15" customHeight="1" s="42">
      <c r="A22" s="44" t="n"/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</row>
    <row r="23" ht="15" customHeight="1" s="42">
      <c r="A23" s="47" t="inlineStr">
        <is>
          <t>C · Skin Boosters &amp; Biostimulators</t>
        </is>
      </c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</row>
    <row r="24" ht="15" customHeight="1" s="42">
      <c r="A24" s="65" t="inlineStr">
        <is>
          <t>Item</t>
        </is>
      </c>
      <c r="B24" s="65" t="inlineStr">
        <is>
          <t>Brand / Product</t>
        </is>
      </c>
      <c r="C24" s="65" t="inlineStr">
        <is>
          <t>Unit</t>
        </is>
      </c>
      <c r="D24" s="66" t="inlineStr">
        <is>
          <t>Unit Cost KD</t>
        </is>
      </c>
      <c r="E24" s="65" t="inlineStr">
        <is>
          <t>MOQ / Offer</t>
        </is>
      </c>
      <c r="F24" s="65" t="inlineStr">
        <is>
          <t>First Order</t>
        </is>
      </c>
      <c r="G24" s="66" t="inlineStr">
        <is>
          <t>Qty</t>
        </is>
      </c>
      <c r="H24" s="66" t="inlineStr">
        <is>
          <t>Total KD</t>
        </is>
      </c>
      <c r="I24" s="65" t="inlineStr">
        <is>
          <t>Kuwait Supplier</t>
        </is>
      </c>
      <c r="J24" s="65" t="inlineStr">
        <is>
          <t>Status</t>
        </is>
      </c>
    </row>
    <row r="25" ht="15" customHeight="1" s="42">
      <c r="A25" s="51" t="inlineStr">
        <is>
          <t>Bio-remodelling booster</t>
        </is>
      </c>
      <c r="B25" s="51" t="inlineStr">
        <is>
          <t>Profhilo (IBSA)</t>
        </is>
      </c>
      <c r="C25" s="51" t="inlineStr">
        <is>
          <t>2ml</t>
        </is>
      </c>
      <c r="D25" s="54" t="n">
        <v>80</v>
      </c>
      <c r="E25" s="51" t="inlineStr">
        <is>
          <t>GCC import</t>
        </is>
      </c>
      <c r="F25" s="51" t="inlineStr">
        <is>
          <t>5 syringes</t>
        </is>
      </c>
      <c r="G25" s="53" t="n">
        <v>5</v>
      </c>
      <c r="H25" s="54">
        <f>D25*G25</f>
        <v/>
      </c>
      <c r="I25" s="51" t="inlineStr">
        <is>
          <t>TBC — IBSA agent unverified</t>
        </is>
      </c>
      <c r="J25" s="69" t="inlineStr">
        <is>
          <t>SUPPLIER TBC</t>
        </is>
      </c>
    </row>
    <row r="26" ht="15" customHeight="1" s="42">
      <c r="A26" s="51" t="inlineStr">
        <is>
          <t>Skin booster</t>
        </is>
      </c>
      <c r="B26" s="51" t="inlineStr">
        <is>
          <t>Revitrane HA20</t>
        </is>
      </c>
      <c r="C26" s="51" t="inlineStr">
        <is>
          <t>box 3×2ml</t>
        </is>
      </c>
      <c r="D26" s="54" t="n">
        <v>57</v>
      </c>
      <c r="E26" s="51" t="inlineStr">
        <is>
          <t>6 + 2 FOC</t>
        </is>
      </c>
      <c r="F26" s="51" t="inlineStr">
        <is>
          <t>6 boxes (8 w/ FOC)</t>
        </is>
      </c>
      <c r="G26" s="53" t="n">
        <v>6</v>
      </c>
      <c r="H26" s="54">
        <f>D26*G26</f>
        <v/>
      </c>
      <c r="I26" s="51" t="inlineStr">
        <is>
          <t>Al Karma Intl</t>
        </is>
      </c>
      <c r="J26" s="67" t="inlineStr">
        <is>
          <t>QUOTED</t>
        </is>
      </c>
    </row>
    <row r="27" ht="15" customHeight="1" s="42">
      <c r="A27" s="51" t="inlineStr">
        <is>
          <t>PDRN regenerator</t>
        </is>
      </c>
      <c r="B27" s="51" t="inlineStr">
        <is>
          <t>HP Cell Regation PDRN 1%</t>
        </is>
      </c>
      <c r="C27" s="51" t="inlineStr">
        <is>
          <t>2ml syr</t>
        </is>
      </c>
      <c r="D27" s="54" t="n">
        <v>38</v>
      </c>
      <c r="E27" s="51" t="inlineStr">
        <is>
          <t>FOC ladder</t>
        </is>
      </c>
      <c r="F27" s="51" t="inlineStr">
        <is>
          <t>5 syringes</t>
        </is>
      </c>
      <c r="G27" s="53" t="n">
        <v>5</v>
      </c>
      <c r="H27" s="54">
        <f>D27*G27</f>
        <v/>
      </c>
      <c r="I27" s="51" t="inlineStr">
        <is>
          <t>Al Karma Intl</t>
        </is>
      </c>
      <c r="J27" s="67" t="inlineStr">
        <is>
          <t>QUOTED</t>
        </is>
      </c>
    </row>
    <row r="28" ht="15" customHeight="1" s="42">
      <c r="A28" s="51" t="inlineStr">
        <is>
          <t>Salmon DNA biorevitaliser</t>
        </is>
      </c>
      <c r="B28" s="51" t="inlineStr">
        <is>
          <t>Newclufill / Promo Italia</t>
        </is>
      </c>
      <c r="C28" s="51" t="inlineStr">
        <is>
          <t>1ml</t>
        </is>
      </c>
      <c r="D28" s="54" t="n">
        <v>27</v>
      </c>
      <c r="E28" s="51" t="inlineStr">
        <is>
          <t>Awaiting offer</t>
        </is>
      </c>
      <c r="F28" s="51" t="inlineStr">
        <is>
          <t>5 vials</t>
        </is>
      </c>
      <c r="G28" s="53" t="n">
        <v>5</v>
      </c>
      <c r="H28" s="54">
        <f>D28*G28</f>
        <v/>
      </c>
      <c r="I28" s="51" t="inlineStr">
        <is>
          <t>Promo Italia / Newclufill</t>
        </is>
      </c>
      <c r="J28" s="68" t="inlineStr">
        <is>
          <t>WAITING OFFER</t>
        </is>
      </c>
    </row>
    <row r="29" ht="15" customHeight="1" s="42">
      <c r="A29" s="51" t="inlineStr">
        <is>
          <t>Collagen stimulator</t>
        </is>
      </c>
      <c r="B29" s="51" t="inlineStr">
        <is>
          <t>Sculptra (Galderma) / PLLA</t>
        </is>
      </c>
      <c r="C29" s="51" t="inlineStr">
        <is>
          <t>vial</t>
        </is>
      </c>
      <c r="D29" s="54" t="n">
        <v>50</v>
      </c>
      <c r="E29" s="51" t="inlineStr">
        <is>
          <t>Awaiting offer</t>
        </is>
      </c>
      <c r="F29" s="51" t="inlineStr">
        <is>
          <t>3 vials</t>
        </is>
      </c>
      <c r="G29" s="53" t="n">
        <v>3</v>
      </c>
      <c r="H29" s="54">
        <f>D29*G29</f>
        <v/>
      </c>
      <c r="I29" s="51" t="inlineStr">
        <is>
          <t>TBC — Galderma agent</t>
        </is>
      </c>
      <c r="J29" s="68" t="inlineStr">
        <is>
          <t>WAITING OFFER</t>
        </is>
      </c>
    </row>
    <row r="30" ht="15" customHeight="1" s="42">
      <c r="A30" s="51" t="inlineStr">
        <is>
          <t>Hydration booster — value</t>
        </is>
      </c>
      <c r="B30" s="51" t="inlineStr">
        <is>
          <t>SAYPHA (Croma)</t>
        </is>
      </c>
      <c r="C30" s="51" t="inlineStr">
        <is>
          <t>1ml</t>
        </is>
      </c>
      <c r="D30" s="54" t="n">
        <v>20</v>
      </c>
      <c r="E30" s="51" t="inlineStr">
        <is>
          <t>Awaiting offer</t>
        </is>
      </c>
      <c r="F30" s="51" t="inlineStr">
        <is>
          <t>5 syringes</t>
        </is>
      </c>
      <c r="G30" s="53" t="n">
        <v>5</v>
      </c>
      <c r="H30" s="54">
        <f>D30*G30</f>
        <v/>
      </c>
      <c r="I30" s="51" t="inlineStr">
        <is>
          <t>TBC — Croma agent</t>
        </is>
      </c>
      <c r="J30" s="68" t="inlineStr">
        <is>
          <t>WAITING OFFER</t>
        </is>
      </c>
    </row>
    <row r="31" ht="15" customHeight="1" s="42">
      <c r="A31" s="56" t="inlineStr">
        <is>
          <t>Subtotal — Skin Boosters &amp; Biostimulators</t>
        </is>
      </c>
      <c r="B31" s="44" t="n"/>
      <c r="C31" s="44" t="n"/>
      <c r="D31" s="44" t="n"/>
      <c r="E31" s="44" t="n"/>
      <c r="F31" s="44" t="n"/>
      <c r="G31" s="44" t="n"/>
      <c r="H31" s="57">
        <f>SUM(H25:H30)</f>
        <v/>
      </c>
      <c r="I31" s="44" t="n"/>
      <c r="J31" s="44" t="n"/>
    </row>
    <row r="32" ht="15" customHeight="1" s="42">
      <c r="A32" s="44" t="n"/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</row>
    <row r="33" ht="15" customHeight="1" s="42">
      <c r="A33" s="47" t="inlineStr">
        <is>
          <t>D · PRP, Exosomes &amp; Stem Cells</t>
        </is>
      </c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</row>
    <row r="34" ht="15" customHeight="1" s="42">
      <c r="A34" s="65" t="inlineStr">
        <is>
          <t>Item</t>
        </is>
      </c>
      <c r="B34" s="65" t="inlineStr">
        <is>
          <t>Brand / Product</t>
        </is>
      </c>
      <c r="C34" s="65" t="inlineStr">
        <is>
          <t>Unit</t>
        </is>
      </c>
      <c r="D34" s="66" t="inlineStr">
        <is>
          <t>Unit Cost KD</t>
        </is>
      </c>
      <c r="E34" s="65" t="inlineStr">
        <is>
          <t>MOQ / Offer</t>
        </is>
      </c>
      <c r="F34" s="65" t="inlineStr">
        <is>
          <t>First Order</t>
        </is>
      </c>
      <c r="G34" s="66" t="inlineStr">
        <is>
          <t>Qty</t>
        </is>
      </c>
      <c r="H34" s="66" t="inlineStr">
        <is>
          <t>Total KD</t>
        </is>
      </c>
      <c r="I34" s="65" t="inlineStr">
        <is>
          <t>Kuwait Supplier</t>
        </is>
      </c>
      <c r="J34" s="65" t="inlineStr">
        <is>
          <t>Status</t>
        </is>
      </c>
    </row>
    <row r="35" ht="15" customHeight="1" s="42">
      <c r="A35" s="51" t="inlineStr">
        <is>
          <t>PRP kits</t>
        </is>
      </c>
      <c r="B35" s="51" t="inlineStr">
        <is>
          <t>AUTOSOMA</t>
        </is>
      </c>
      <c r="C35" s="51" t="inlineStr">
        <is>
          <t>10-treatment kit</t>
        </is>
      </c>
      <c r="D35" s="54" t="n">
        <v>120</v>
      </c>
      <c r="E35" s="51" t="inlineStr">
        <is>
          <t>—</t>
        </is>
      </c>
      <c r="F35" s="51" t="inlineStr">
        <is>
          <t>2 kits (20 treatments)</t>
        </is>
      </c>
      <c r="G35" s="53" t="n">
        <v>2</v>
      </c>
      <c r="H35" s="54">
        <f>D35*G35</f>
        <v/>
      </c>
      <c r="I35" s="51" t="inlineStr">
        <is>
          <t>Al Karma Intl</t>
        </is>
      </c>
      <c r="J35" s="67" t="inlineStr">
        <is>
          <t>QUOTED</t>
        </is>
      </c>
    </row>
    <row r="36" ht="15" customHeight="1" s="42">
      <c r="A36" s="51" t="inlineStr">
        <is>
          <t>Exosomes — skin</t>
        </is>
      </c>
      <c r="B36" s="51" t="inlineStr">
        <is>
          <t>Xomage</t>
        </is>
      </c>
      <c r="C36" s="51" t="inlineStr">
        <is>
          <t>100mg vial</t>
        </is>
      </c>
      <c r="D36" s="54" t="n">
        <v>45</v>
      </c>
      <c r="E36" s="51" t="inlineStr">
        <is>
          <t>—</t>
        </is>
      </c>
      <c r="F36" s="51" t="inlineStr">
        <is>
          <t>4 vials</t>
        </is>
      </c>
      <c r="G36" s="53" t="n">
        <v>4</v>
      </c>
      <c r="H36" s="54">
        <f>D36*G36</f>
        <v/>
      </c>
      <c r="I36" s="51" t="inlineStr">
        <is>
          <t>3MD Pharma</t>
        </is>
      </c>
      <c r="J36" s="67" t="inlineStr">
        <is>
          <t>QUOTED</t>
        </is>
      </c>
    </row>
    <row r="37" ht="15" customHeight="1" s="42">
      <c r="A37" s="51" t="inlineStr">
        <is>
          <t>Exosomes — scalp</t>
        </is>
      </c>
      <c r="B37" s="51" t="inlineStr">
        <is>
          <t>Xomage H</t>
        </is>
      </c>
      <c r="C37" s="51" t="inlineStr">
        <is>
          <t>100mg vial</t>
        </is>
      </c>
      <c r="D37" s="54" t="n">
        <v>45</v>
      </c>
      <c r="E37" s="51" t="inlineStr">
        <is>
          <t>—</t>
        </is>
      </c>
      <c r="F37" s="51" t="inlineStr">
        <is>
          <t>2 vials</t>
        </is>
      </c>
      <c r="G37" s="53" t="n">
        <v>2</v>
      </c>
      <c r="H37" s="54">
        <f>D37*G37</f>
        <v/>
      </c>
      <c r="I37" s="51" t="inlineStr">
        <is>
          <t>3MD Pharma</t>
        </is>
      </c>
      <c r="J37" s="67" t="inlineStr">
        <is>
          <t>QUOTED</t>
        </is>
      </c>
    </row>
    <row r="38" ht="15" customHeight="1" s="42">
      <c r="A38" s="51" t="inlineStr">
        <is>
          <t>Stem-cell ampoule (premium)</t>
        </is>
      </c>
      <c r="B38" s="51" t="inlineStr">
        <is>
          <t>TBD — premium import</t>
        </is>
      </c>
      <c r="C38" s="51" t="inlineStr">
        <is>
          <t>ampoule</t>
        </is>
      </c>
      <c r="D38" s="54" t="n">
        <v>85</v>
      </c>
      <c r="E38" s="51" t="inlineStr">
        <is>
          <t>Estimate</t>
        </is>
      </c>
      <c r="F38" s="51" t="inlineStr">
        <is>
          <t>2 ampoules</t>
        </is>
      </c>
      <c r="G38" s="53" t="n">
        <v>2</v>
      </c>
      <c r="H38" s="54">
        <f>D38*G38</f>
        <v/>
      </c>
      <c r="I38" s="51" t="inlineStr">
        <is>
          <t>TBC</t>
        </is>
      </c>
      <c r="J38" s="69" t="inlineStr">
        <is>
          <t>SUPPLIER TBC</t>
        </is>
      </c>
    </row>
    <row r="39" ht="15" customHeight="1" s="42">
      <c r="A39" s="56" t="inlineStr">
        <is>
          <t>Subtotal — PRP, Exosomes &amp; Stem Cells</t>
        </is>
      </c>
      <c r="B39" s="44" t="n"/>
      <c r="C39" s="44" t="n"/>
      <c r="D39" s="44" t="n"/>
      <c r="E39" s="44" t="n"/>
      <c r="F39" s="44" t="n"/>
      <c r="G39" s="44" t="n"/>
      <c r="H39" s="57">
        <f>SUM(H35:H38)</f>
        <v/>
      </c>
      <c r="I39" s="44" t="n"/>
      <c r="J39" s="44" t="n"/>
    </row>
    <row r="40" ht="15" customHeight="1" s="42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</row>
    <row r="41" ht="15" customHeight="1" s="42">
      <c r="A41" s="47" t="inlineStr">
        <is>
          <t>E · Threads &amp; Dissolvers</t>
        </is>
      </c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</row>
    <row r="42" ht="15" customHeight="1" s="42">
      <c r="A42" s="65" t="inlineStr">
        <is>
          <t>Item</t>
        </is>
      </c>
      <c r="B42" s="65" t="inlineStr">
        <is>
          <t>Brand / Product</t>
        </is>
      </c>
      <c r="C42" s="65" t="inlineStr">
        <is>
          <t>Unit</t>
        </is>
      </c>
      <c r="D42" s="66" t="inlineStr">
        <is>
          <t>Unit Cost KD</t>
        </is>
      </c>
      <c r="E42" s="65" t="inlineStr">
        <is>
          <t>MOQ / Offer</t>
        </is>
      </c>
      <c r="F42" s="65" t="inlineStr">
        <is>
          <t>First Order</t>
        </is>
      </c>
      <c r="G42" s="66" t="inlineStr">
        <is>
          <t>Qty</t>
        </is>
      </c>
      <c r="H42" s="66" t="inlineStr">
        <is>
          <t>Total KD</t>
        </is>
      </c>
      <c r="I42" s="65" t="inlineStr">
        <is>
          <t>Kuwait Supplier</t>
        </is>
      </c>
      <c r="J42" s="65" t="inlineStr">
        <is>
          <t>Status</t>
        </is>
      </c>
    </row>
    <row r="43" ht="15" customHeight="1" s="42">
      <c r="A43" s="51" t="inlineStr">
        <is>
          <t>COG lifting threads</t>
        </is>
      </c>
      <c r="B43" s="51" t="inlineStr">
        <is>
          <t>Dr Perfect COG 6D</t>
        </is>
      </c>
      <c r="C43" s="51" t="inlineStr">
        <is>
          <t>thread</t>
        </is>
      </c>
      <c r="D43" s="54" t="n">
        <v>65</v>
      </c>
      <c r="E43" s="51" t="inlineStr">
        <is>
          <t>10 + 3 FOC</t>
        </is>
      </c>
      <c r="F43" s="51" t="inlineStr">
        <is>
          <t>10 threads (13 w/ FOC)</t>
        </is>
      </c>
      <c r="G43" s="53" t="n">
        <v>10</v>
      </c>
      <c r="H43" s="54">
        <f>D43*G43</f>
        <v/>
      </c>
      <c r="I43" s="51" t="inlineStr">
        <is>
          <t>TBC — Dr Perfect agent</t>
        </is>
      </c>
      <c r="J43" s="68" t="inlineStr">
        <is>
          <t>WAITING OFFER</t>
        </is>
      </c>
    </row>
    <row r="44" ht="15" customHeight="1" s="42">
      <c r="A44" s="51" t="inlineStr">
        <is>
          <t>PDO mono threads</t>
        </is>
      </c>
      <c r="B44" s="51" t="inlineStr">
        <is>
          <t>Mono pack</t>
        </is>
      </c>
      <c r="C44" s="51" t="inlineStr">
        <is>
          <t>pack of 20</t>
        </is>
      </c>
      <c r="D44" s="54" t="n">
        <v>65</v>
      </c>
      <c r="E44" s="51" t="inlineStr">
        <is>
          <t>—</t>
        </is>
      </c>
      <c r="F44" s="51" t="inlineStr">
        <is>
          <t>5 packs</t>
        </is>
      </c>
      <c r="G44" s="53" t="n">
        <v>5</v>
      </c>
      <c r="H44" s="54">
        <f>D44*G44</f>
        <v/>
      </c>
      <c r="I44" s="51" t="inlineStr">
        <is>
          <t>TBC — same agent</t>
        </is>
      </c>
      <c r="J44" s="68" t="inlineStr">
        <is>
          <t>WAITING OFFER</t>
        </is>
      </c>
    </row>
    <row r="45" ht="15" customHeight="1" s="42">
      <c r="A45" s="51" t="inlineStr">
        <is>
          <t>Filler dissolver</t>
        </is>
      </c>
      <c r="B45" s="51" t="inlineStr">
        <is>
          <t>Bp Serum Hyaluronidase</t>
        </is>
      </c>
      <c r="C45" s="51" t="inlineStr">
        <is>
          <t>box 10 vials</t>
        </is>
      </c>
      <c r="D45" s="54" t="n">
        <v>70</v>
      </c>
      <c r="E45" s="51" t="inlineStr">
        <is>
          <t>10 + 1 FOC</t>
        </is>
      </c>
      <c r="F45" s="51" t="inlineStr">
        <is>
          <t>2 boxes</t>
        </is>
      </c>
      <c r="G45" s="53" t="n">
        <v>2</v>
      </c>
      <c r="H45" s="54">
        <f>D45*G45</f>
        <v/>
      </c>
      <c r="I45" s="51" t="inlineStr">
        <is>
          <t>Evertrue Medical</t>
        </is>
      </c>
      <c r="J45" s="67" t="inlineStr">
        <is>
          <t>QUOTED</t>
        </is>
      </c>
    </row>
    <row r="46" ht="15" customHeight="1" s="42">
      <c r="A46" s="51" t="inlineStr">
        <is>
          <t>Fat-dissolving solution</t>
        </is>
      </c>
      <c r="B46" s="51" t="inlineStr">
        <is>
          <t>Aqualyx / Lemon Bottle</t>
        </is>
      </c>
      <c r="C46" s="51" t="inlineStr">
        <is>
          <t>vial (per area)</t>
        </is>
      </c>
      <c r="D46" s="54" t="n">
        <v>25</v>
      </c>
      <c r="E46" s="51" t="inlineStr">
        <is>
          <t>Estimate</t>
        </is>
      </c>
      <c r="F46" s="51" t="inlineStr">
        <is>
          <t>10 vials</t>
        </is>
      </c>
      <c r="G46" s="53" t="n">
        <v>10</v>
      </c>
      <c r="H46" s="54">
        <f>D46*G46</f>
        <v/>
      </c>
      <c r="I46" s="51" t="inlineStr">
        <is>
          <t>TBC</t>
        </is>
      </c>
      <c r="J46" s="69" t="inlineStr">
        <is>
          <t>SUPPLIER TBC</t>
        </is>
      </c>
    </row>
    <row r="47" ht="15" customHeight="1" s="42">
      <c r="A47" s="56" t="inlineStr">
        <is>
          <t>Subtotal — Threads &amp; Dissolvers</t>
        </is>
      </c>
      <c r="B47" s="44" t="n"/>
      <c r="C47" s="44" t="n"/>
      <c r="D47" s="44" t="n"/>
      <c r="E47" s="44" t="n"/>
      <c r="F47" s="44" t="n"/>
      <c r="G47" s="44" t="n"/>
      <c r="H47" s="57">
        <f>SUM(H43:H46)</f>
        <v/>
      </c>
      <c r="I47" s="44" t="n"/>
      <c r="J47" s="44" t="n"/>
    </row>
    <row r="48" ht="15" customHeight="1" s="42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</row>
    <row r="49" ht="15" customHeight="1" s="42">
      <c r="A49" s="47" t="inlineStr">
        <is>
          <t>F · Mesotherapy, Peels &amp; Topicals</t>
        </is>
      </c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</row>
    <row r="50" ht="15" customHeight="1" s="42">
      <c r="A50" s="65" t="inlineStr">
        <is>
          <t>Item</t>
        </is>
      </c>
      <c r="B50" s="65" t="inlineStr">
        <is>
          <t>Brand / Product</t>
        </is>
      </c>
      <c r="C50" s="65" t="inlineStr">
        <is>
          <t>Unit</t>
        </is>
      </c>
      <c r="D50" s="66" t="inlineStr">
        <is>
          <t>Unit Cost KD</t>
        </is>
      </c>
      <c r="E50" s="65" t="inlineStr">
        <is>
          <t>MOQ / Offer</t>
        </is>
      </c>
      <c r="F50" s="65" t="inlineStr">
        <is>
          <t>First Order</t>
        </is>
      </c>
      <c r="G50" s="66" t="inlineStr">
        <is>
          <t>Qty</t>
        </is>
      </c>
      <c r="H50" s="66" t="inlineStr">
        <is>
          <t>Total KD</t>
        </is>
      </c>
      <c r="I50" s="65" t="inlineStr">
        <is>
          <t>Kuwait Supplier</t>
        </is>
      </c>
      <c r="J50" s="65" t="inlineStr">
        <is>
          <t>Status</t>
        </is>
      </c>
    </row>
    <row r="51" ht="15" customHeight="1" s="42">
      <c r="A51" s="51" t="inlineStr">
        <is>
          <t>Mesotherapy cocktails (face/hair/body)</t>
        </is>
      </c>
      <c r="B51" s="51" t="inlineStr">
        <is>
          <t>Mixed — Fusion/RRS class</t>
        </is>
      </c>
      <c r="C51" s="51" t="inlineStr">
        <is>
          <t>session vial</t>
        </is>
      </c>
      <c r="D51" s="54" t="n">
        <v>12</v>
      </c>
      <c r="E51" s="51" t="inlineStr">
        <is>
          <t>—</t>
        </is>
      </c>
      <c r="F51" s="51" t="inlineStr">
        <is>
          <t>30 vials</t>
        </is>
      </c>
      <c r="G51" s="53" t="n">
        <v>30</v>
      </c>
      <c r="H51" s="54">
        <f>D51*G51</f>
        <v/>
      </c>
      <c r="I51" s="51" t="inlineStr">
        <is>
          <t>Al Karma Intl / various</t>
        </is>
      </c>
      <c r="J51" s="67" t="inlineStr">
        <is>
          <t>QUOTED</t>
        </is>
      </c>
    </row>
    <row r="52" ht="15" customHeight="1" s="42">
      <c r="A52" s="51" t="inlineStr">
        <is>
          <t>Depigmentation protocol</t>
        </is>
      </c>
      <c r="B52" s="51" t="inlineStr">
        <is>
          <t>Cosmelan (Mesoestetic)</t>
        </is>
      </c>
      <c r="C52" s="51" t="inlineStr">
        <is>
          <t>full kit + home pack</t>
        </is>
      </c>
      <c r="D52" s="54" t="n">
        <v>70</v>
      </c>
      <c r="E52" s="51" t="inlineStr">
        <is>
          <t>—</t>
        </is>
      </c>
      <c r="F52" s="51" t="inlineStr">
        <is>
          <t>3 kits</t>
        </is>
      </c>
      <c r="G52" s="53" t="n">
        <v>3</v>
      </c>
      <c r="H52" s="54">
        <f>D52*G52</f>
        <v/>
      </c>
      <c r="I52" s="51" t="inlineStr">
        <is>
          <t>TBC — Mesoestetic agent</t>
        </is>
      </c>
      <c r="J52" s="69" t="inlineStr">
        <is>
          <t>SUPPLIER TBC</t>
        </is>
      </c>
    </row>
    <row r="53" ht="15" customHeight="1" s="42">
      <c r="A53" s="51" t="inlineStr">
        <is>
          <t>Numbing cream</t>
        </is>
      </c>
      <c r="B53" s="51" t="inlineStr">
        <is>
          <t>J-Cain 9.6%</t>
        </is>
      </c>
      <c r="C53" s="51" t="inlineStr">
        <is>
          <t>500g tub</t>
        </is>
      </c>
      <c r="D53" s="54" t="n">
        <v>15.45</v>
      </c>
      <c r="E53" s="51" t="inlineStr">
        <is>
          <t>—</t>
        </is>
      </c>
      <c r="F53" s="51" t="inlineStr">
        <is>
          <t>4 tubs</t>
        </is>
      </c>
      <c r="G53" s="53" t="n">
        <v>4</v>
      </c>
      <c r="H53" s="54">
        <f>D53*G53</f>
        <v/>
      </c>
      <c r="I53" s="51" t="inlineStr">
        <is>
          <t>Al Karma Intl / Vivizon Pharma</t>
        </is>
      </c>
      <c r="J53" s="67" t="inlineStr">
        <is>
          <t>QUOTED</t>
        </is>
      </c>
    </row>
    <row r="54" ht="15" customHeight="1" s="42">
      <c r="A54" s="51" t="inlineStr">
        <is>
          <t>Topical anaesthetic</t>
        </is>
      </c>
      <c r="B54" s="51" t="inlineStr">
        <is>
          <t>EMLA 5%</t>
        </is>
      </c>
      <c r="C54" s="51" t="inlineStr">
        <is>
          <t>tube</t>
        </is>
      </c>
      <c r="D54" s="54" t="n">
        <v>3.5</v>
      </c>
      <c r="E54" s="51" t="inlineStr">
        <is>
          <t>—</t>
        </is>
      </c>
      <c r="F54" s="51" t="inlineStr">
        <is>
          <t>20 tubes</t>
        </is>
      </c>
      <c r="G54" s="53" t="n">
        <v>20</v>
      </c>
      <c r="H54" s="54">
        <f>D54*G54</f>
        <v/>
      </c>
      <c r="I54" s="51" t="inlineStr">
        <is>
          <t>Local pharmacy wholesale</t>
        </is>
      </c>
      <c r="J54" s="67" t="inlineStr">
        <is>
          <t>QUOTED</t>
        </is>
      </c>
    </row>
    <row r="55" ht="15" customHeight="1" s="42">
      <c r="A55" s="51" t="inlineStr">
        <is>
          <t>Glycolic/Salicylic peel solution</t>
        </is>
      </c>
      <c r="B55" s="51" t="inlineStr">
        <is>
          <t>30–70% professional</t>
        </is>
      </c>
      <c r="C55" s="51" t="inlineStr">
        <is>
          <t>bottle (~3 uses)</t>
        </is>
      </c>
      <c r="D55" s="54" t="n">
        <v>22</v>
      </c>
      <c r="E55" s="51" t="inlineStr">
        <is>
          <t>—</t>
        </is>
      </c>
      <c r="F55" s="51" t="inlineStr">
        <is>
          <t>2 bottles</t>
        </is>
      </c>
      <c r="G55" s="53" t="n">
        <v>2</v>
      </c>
      <c r="H55" s="54">
        <f>D55*G55</f>
        <v/>
      </c>
      <c r="I55" s="51" t="inlineStr">
        <is>
          <t>Local med supply</t>
        </is>
      </c>
      <c r="J55" s="67" t="inlineStr">
        <is>
          <t>QUOTED</t>
        </is>
      </c>
    </row>
    <row r="56" ht="15" customHeight="1" s="42">
      <c r="A56" s="51" t="inlineStr">
        <is>
          <t>TCA peel solution</t>
        </is>
      </c>
      <c r="B56" s="51" t="inlineStr">
        <is>
          <t>15–35%</t>
        </is>
      </c>
      <c r="C56" s="51" t="inlineStr">
        <is>
          <t>bottle</t>
        </is>
      </c>
      <c r="D56" s="54" t="n">
        <v>28</v>
      </c>
      <c r="E56" s="51" t="inlineStr">
        <is>
          <t>—</t>
        </is>
      </c>
      <c r="F56" s="51" t="inlineStr">
        <is>
          <t>1 bottle</t>
        </is>
      </c>
      <c r="G56" s="53" t="n">
        <v>1</v>
      </c>
      <c r="H56" s="54">
        <f>D56*G56</f>
        <v/>
      </c>
      <c r="I56" s="51" t="inlineStr">
        <is>
          <t>Local med supply</t>
        </is>
      </c>
      <c r="J56" s="67" t="inlineStr">
        <is>
          <t>QUOTED</t>
        </is>
      </c>
    </row>
    <row r="57" ht="15" customHeight="1" s="42">
      <c r="A57" s="51" t="inlineStr">
        <is>
          <t>Jessner solution</t>
        </is>
      </c>
      <c r="B57" s="51" t="inlineStr">
        <is>
          <t>Professional grade</t>
        </is>
      </c>
      <c r="C57" s="51" t="inlineStr">
        <is>
          <t>bottle</t>
        </is>
      </c>
      <c r="D57" s="54" t="n">
        <v>25</v>
      </c>
      <c r="E57" s="51" t="inlineStr">
        <is>
          <t>Estimate</t>
        </is>
      </c>
      <c r="F57" s="51" t="inlineStr">
        <is>
          <t>1 bottle</t>
        </is>
      </c>
      <c r="G57" s="53" t="n">
        <v>1</v>
      </c>
      <c r="H57" s="54">
        <f>D57*G57</f>
        <v/>
      </c>
      <c r="I57" s="51" t="inlineStr">
        <is>
          <t>TBC</t>
        </is>
      </c>
      <c r="J57" s="69" t="inlineStr">
        <is>
          <t>SUPPLIER TBC</t>
        </is>
      </c>
    </row>
    <row r="58" ht="15" customHeight="1" s="42">
      <c r="A58" s="56" t="inlineStr">
        <is>
          <t>Subtotal — Mesotherapy, Peels &amp; Topicals</t>
        </is>
      </c>
      <c r="B58" s="44" t="n"/>
      <c r="C58" s="44" t="n"/>
      <c r="D58" s="44" t="n"/>
      <c r="E58" s="44" t="n"/>
      <c r="F58" s="44" t="n"/>
      <c r="G58" s="44" t="n"/>
      <c r="H58" s="57">
        <f>SUM(H51:H57)</f>
        <v/>
      </c>
      <c r="I58" s="44" t="n"/>
      <c r="J58" s="44" t="n"/>
    </row>
    <row r="59" ht="15" customHeight="1" s="42">
      <c r="A59" s="44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</row>
    <row r="60" ht="15" customHeight="1" s="42">
      <c r="A60" s="47" t="inlineStr">
        <is>
          <t>G · Clinical Disposables (1-month opening stock)</t>
        </is>
      </c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</row>
    <row r="61" ht="15" customHeight="1" s="42">
      <c r="A61" s="65" t="inlineStr">
        <is>
          <t>Item</t>
        </is>
      </c>
      <c r="B61" s="65" t="inlineStr">
        <is>
          <t>Brand / Product</t>
        </is>
      </c>
      <c r="C61" s="65" t="inlineStr">
        <is>
          <t>Unit</t>
        </is>
      </c>
      <c r="D61" s="66" t="inlineStr">
        <is>
          <t>Unit Cost KD</t>
        </is>
      </c>
      <c r="E61" s="65" t="inlineStr">
        <is>
          <t>MOQ / Offer</t>
        </is>
      </c>
      <c r="F61" s="65" t="inlineStr">
        <is>
          <t>First Order</t>
        </is>
      </c>
      <c r="G61" s="66" t="inlineStr">
        <is>
          <t>Qty</t>
        </is>
      </c>
      <c r="H61" s="66" t="inlineStr">
        <is>
          <t>Total KD</t>
        </is>
      </c>
      <c r="I61" s="65" t="inlineStr">
        <is>
          <t>Kuwait Supplier</t>
        </is>
      </c>
      <c r="J61" s="65" t="inlineStr">
        <is>
          <t>Status</t>
        </is>
      </c>
    </row>
    <row r="62" ht="15" customHeight="1" s="42">
      <c r="A62" s="51" t="inlineStr">
        <is>
          <t>Exam gloves — nitrile</t>
        </is>
      </c>
      <c r="B62" s="51" t="inlineStr">
        <is>
          <t>Generic</t>
        </is>
      </c>
      <c r="C62" s="51" t="inlineStr">
        <is>
          <t>box 100</t>
        </is>
      </c>
      <c r="D62" s="54" t="n">
        <v>3.5</v>
      </c>
      <c r="E62" s="51" t="inlineStr">
        <is>
          <t>—</t>
        </is>
      </c>
      <c r="F62" s="51" t="inlineStr">
        <is>
          <t>8 boxes</t>
        </is>
      </c>
      <c r="G62" s="53" t="n">
        <v>8</v>
      </c>
      <c r="H62" s="54">
        <f>D62*G62</f>
        <v/>
      </c>
      <c r="I62" s="51" t="inlineStr">
        <is>
          <t>Saja Gulf / local med supply</t>
        </is>
      </c>
      <c r="J62" s="67" t="inlineStr">
        <is>
          <t>QUOTED</t>
        </is>
      </c>
    </row>
    <row r="63" ht="15" customHeight="1" s="42">
      <c r="A63" s="51" t="inlineStr">
        <is>
          <t>Sterile surgical gloves</t>
        </is>
      </c>
      <c r="B63" s="51" t="inlineStr">
        <is>
          <t>Generic</t>
        </is>
      </c>
      <c r="C63" s="51" t="inlineStr">
        <is>
          <t>box</t>
        </is>
      </c>
      <c r="D63" s="54" t="n">
        <v>6.5</v>
      </c>
      <c r="E63" s="51" t="inlineStr">
        <is>
          <t>—</t>
        </is>
      </c>
      <c r="F63" s="51" t="inlineStr">
        <is>
          <t>2 boxes</t>
        </is>
      </c>
      <c r="G63" s="53" t="n">
        <v>2</v>
      </c>
      <c r="H63" s="54">
        <f>D63*G63</f>
        <v/>
      </c>
      <c r="I63" s="51" t="inlineStr">
        <is>
          <t>Saja Gulf / local med supply</t>
        </is>
      </c>
      <c r="J63" s="67" t="inlineStr">
        <is>
          <t>QUOTED</t>
        </is>
      </c>
    </row>
    <row r="64" ht="15" customHeight="1" s="42">
      <c r="A64" s="51" t="inlineStr">
        <is>
          <t>Nitrile gloves black S/M/L</t>
        </is>
      </c>
      <c r="B64" s="51" t="inlineStr">
        <is>
          <t>Generic</t>
        </is>
      </c>
      <c r="C64" s="51" t="inlineStr">
        <is>
          <t>box</t>
        </is>
      </c>
      <c r="D64" s="54" t="n">
        <v>1.4</v>
      </c>
      <c r="E64" s="51" t="inlineStr">
        <is>
          <t>—</t>
        </is>
      </c>
      <c r="F64" s="51" t="inlineStr">
        <is>
          <t>24 boxes</t>
        </is>
      </c>
      <c r="G64" s="53" t="n">
        <v>24</v>
      </c>
      <c r="H64" s="54">
        <f>D64*G64</f>
        <v/>
      </c>
      <c r="I64" s="51" t="inlineStr">
        <is>
          <t>Local med supply</t>
        </is>
      </c>
      <c r="J64" s="67" t="inlineStr">
        <is>
          <t>QUOTED</t>
        </is>
      </c>
    </row>
    <row r="65" ht="15" customHeight="1" s="42">
      <c r="A65" s="51" t="inlineStr">
        <is>
          <t>Face masks 3-ply</t>
        </is>
      </c>
      <c r="B65" s="51" t="inlineStr">
        <is>
          <t>Generic</t>
        </is>
      </c>
      <c r="C65" s="51" t="inlineStr">
        <is>
          <t>box 50</t>
        </is>
      </c>
      <c r="D65" s="54" t="n">
        <v>0.7</v>
      </c>
      <c r="E65" s="51" t="inlineStr">
        <is>
          <t>—</t>
        </is>
      </c>
      <c r="F65" s="51" t="inlineStr">
        <is>
          <t>4 boxes</t>
        </is>
      </c>
      <c r="G65" s="53" t="n">
        <v>4</v>
      </c>
      <c r="H65" s="54">
        <f>D65*G65</f>
        <v/>
      </c>
      <c r="I65" s="51" t="inlineStr">
        <is>
          <t>Local med supply</t>
        </is>
      </c>
      <c r="J65" s="67" t="inlineStr">
        <is>
          <t>QUOTED</t>
        </is>
      </c>
    </row>
    <row r="66" ht="15" customHeight="1" s="42">
      <c r="A66" s="51" t="inlineStr">
        <is>
          <t>Disposable patient gowns</t>
        </is>
      </c>
      <c r="B66" s="51" t="inlineStr">
        <is>
          <t>Generic</t>
        </is>
      </c>
      <c r="C66" s="51" t="inlineStr">
        <is>
          <t>piece</t>
        </is>
      </c>
      <c r="D66" s="54" t="n">
        <v>0.5</v>
      </c>
      <c r="E66" s="51" t="inlineStr">
        <is>
          <t>—</t>
        </is>
      </c>
      <c r="F66" s="51" t="inlineStr">
        <is>
          <t>60 pcs</t>
        </is>
      </c>
      <c r="G66" s="53" t="n">
        <v>60</v>
      </c>
      <c r="H66" s="54">
        <f>D66*G66</f>
        <v/>
      </c>
      <c r="I66" s="51" t="inlineStr">
        <is>
          <t>Local med supply</t>
        </is>
      </c>
      <c r="J66" s="67" t="inlineStr">
        <is>
          <t>QUOTED</t>
        </is>
      </c>
    </row>
    <row r="67" ht="15" customHeight="1" s="42">
      <c r="A67" s="51" t="inlineStr">
        <is>
          <t>Disposable drapes</t>
        </is>
      </c>
      <c r="B67" s="51" t="inlineStr">
        <is>
          <t>Generic</t>
        </is>
      </c>
      <c r="C67" s="51" t="inlineStr">
        <is>
          <t>box 50</t>
        </is>
      </c>
      <c r="D67" s="54" t="n">
        <v>5</v>
      </c>
      <c r="E67" s="51" t="inlineStr">
        <is>
          <t>—</t>
        </is>
      </c>
      <c r="F67" s="51" t="inlineStr">
        <is>
          <t>2 boxes</t>
        </is>
      </c>
      <c r="G67" s="53" t="n">
        <v>2</v>
      </c>
      <c r="H67" s="54">
        <f>D67*G67</f>
        <v/>
      </c>
      <c r="I67" s="51" t="inlineStr">
        <is>
          <t>Local med supply</t>
        </is>
      </c>
      <c r="J67" s="67" t="inlineStr">
        <is>
          <t>QUOTED</t>
        </is>
      </c>
    </row>
    <row r="68" ht="15" customHeight="1" s="42">
      <c r="A68" s="51" t="inlineStr">
        <is>
          <t>Alcohol swabs</t>
        </is>
      </c>
      <c r="B68" s="51" t="inlineStr">
        <is>
          <t>Generic</t>
        </is>
      </c>
      <c r="C68" s="51" t="inlineStr">
        <is>
          <t>box 200</t>
        </is>
      </c>
      <c r="D68" s="54" t="n">
        <v>1.8</v>
      </c>
      <c r="E68" s="51" t="inlineStr">
        <is>
          <t>—</t>
        </is>
      </c>
      <c r="F68" s="51" t="inlineStr">
        <is>
          <t>10 boxes</t>
        </is>
      </c>
      <c r="G68" s="53" t="n">
        <v>10</v>
      </c>
      <c r="H68" s="54">
        <f>D68*G68</f>
        <v/>
      </c>
      <c r="I68" s="51" t="inlineStr">
        <is>
          <t>Local med supply</t>
        </is>
      </c>
      <c r="J68" s="67" t="inlineStr">
        <is>
          <t>QUOTED</t>
        </is>
      </c>
    </row>
    <row r="69" ht="15" customHeight="1" s="42">
      <c r="A69" s="51" t="inlineStr">
        <is>
          <t>Sterile gauze squares</t>
        </is>
      </c>
      <c r="B69" s="51" t="inlineStr">
        <is>
          <t>Generic</t>
        </is>
      </c>
      <c r="C69" s="51" t="inlineStr">
        <is>
          <t>box 100</t>
        </is>
      </c>
      <c r="D69" s="54" t="n">
        <v>2.2</v>
      </c>
      <c r="E69" s="51" t="inlineStr">
        <is>
          <t>—</t>
        </is>
      </c>
      <c r="F69" s="51" t="inlineStr">
        <is>
          <t>6 boxes</t>
        </is>
      </c>
      <c r="G69" s="53" t="n">
        <v>6</v>
      </c>
      <c r="H69" s="54">
        <f>D69*G69</f>
        <v/>
      </c>
      <c r="I69" s="51" t="inlineStr">
        <is>
          <t>Local med supply</t>
        </is>
      </c>
      <c r="J69" s="67" t="inlineStr">
        <is>
          <t>QUOTED</t>
        </is>
      </c>
    </row>
    <row r="70" ht="15" customHeight="1" s="42">
      <c r="A70" s="51" t="inlineStr">
        <is>
          <t>Cotton balls/pads</t>
        </is>
      </c>
      <c r="B70" s="51" t="inlineStr">
        <is>
          <t>Generic</t>
        </is>
      </c>
      <c r="C70" s="51" t="inlineStr">
        <is>
          <t>bag 200</t>
        </is>
      </c>
      <c r="D70" s="54" t="n">
        <v>1.5</v>
      </c>
      <c r="E70" s="51" t="inlineStr">
        <is>
          <t>—</t>
        </is>
      </c>
      <c r="F70" s="51" t="inlineStr">
        <is>
          <t>4 bags</t>
        </is>
      </c>
      <c r="G70" s="53" t="n">
        <v>4</v>
      </c>
      <c r="H70" s="54">
        <f>D70*G70</f>
        <v/>
      </c>
      <c r="I70" s="51" t="inlineStr">
        <is>
          <t>Local med supply</t>
        </is>
      </c>
      <c r="J70" s="67" t="inlineStr">
        <is>
          <t>QUOTED</t>
        </is>
      </c>
    </row>
    <row r="71" ht="15" customHeight="1" s="42">
      <c r="A71" s="51" t="inlineStr">
        <is>
          <t>Sharps containers 5L</t>
        </is>
      </c>
      <c r="B71" s="51" t="inlineStr">
        <is>
          <t>Generic</t>
        </is>
      </c>
      <c r="C71" s="51" t="inlineStr">
        <is>
          <t>piece</t>
        </is>
      </c>
      <c r="D71" s="54" t="n">
        <v>2</v>
      </c>
      <c r="E71" s="51" t="inlineStr">
        <is>
          <t>—</t>
        </is>
      </c>
      <c r="F71" s="51" t="inlineStr">
        <is>
          <t>2 pcs</t>
        </is>
      </c>
      <c r="G71" s="53" t="n">
        <v>2</v>
      </c>
      <c r="H71" s="54">
        <f>D71*G71</f>
        <v/>
      </c>
      <c r="I71" s="51" t="inlineStr">
        <is>
          <t>Local med supply</t>
        </is>
      </c>
      <c r="J71" s="67" t="inlineStr">
        <is>
          <t>QUOTED</t>
        </is>
      </c>
    </row>
    <row r="72" ht="15" customHeight="1" s="42">
      <c r="A72" s="51" t="inlineStr">
        <is>
          <t>Bio-waste bags red</t>
        </is>
      </c>
      <c r="B72" s="51" t="inlineStr">
        <is>
          <t>Generic</t>
        </is>
      </c>
      <c r="C72" s="51" t="inlineStr">
        <is>
          <t>roll 25</t>
        </is>
      </c>
      <c r="D72" s="54" t="n">
        <v>3</v>
      </c>
      <c r="E72" s="51" t="inlineStr">
        <is>
          <t>—</t>
        </is>
      </c>
      <c r="F72" s="51" t="inlineStr">
        <is>
          <t>4 rolls</t>
        </is>
      </c>
      <c r="G72" s="53" t="n">
        <v>4</v>
      </c>
      <c r="H72" s="54">
        <f>D72*G72</f>
        <v/>
      </c>
      <c r="I72" s="51" t="inlineStr">
        <is>
          <t>Local med supply</t>
        </is>
      </c>
      <c r="J72" s="67" t="inlineStr">
        <is>
          <t>QUOTED</t>
        </is>
      </c>
    </row>
    <row r="73" ht="15" customHeight="1" s="42">
      <c r="A73" s="51" t="inlineStr">
        <is>
          <t>Sterile drape sheets 75×90</t>
        </is>
      </c>
      <c r="B73" s="51" t="inlineStr">
        <is>
          <t>Generic</t>
        </is>
      </c>
      <c r="C73" s="51" t="inlineStr">
        <is>
          <t>piece</t>
        </is>
      </c>
      <c r="D73" s="54" t="n">
        <v>0.5</v>
      </c>
      <c r="E73" s="51" t="inlineStr">
        <is>
          <t>—</t>
        </is>
      </c>
      <c r="F73" s="51" t="inlineStr">
        <is>
          <t>20 pcs</t>
        </is>
      </c>
      <c r="G73" s="53" t="n">
        <v>20</v>
      </c>
      <c r="H73" s="54">
        <f>D73*G73</f>
        <v/>
      </c>
      <c r="I73" s="51" t="inlineStr">
        <is>
          <t>Local med supply</t>
        </is>
      </c>
      <c r="J73" s="67" t="inlineStr">
        <is>
          <t>QUOTED</t>
        </is>
      </c>
    </row>
    <row r="74" ht="15" customHeight="1" s="42">
      <c r="A74" s="51" t="inlineStr">
        <is>
          <t>Syringes 1ml Luer-lock</t>
        </is>
      </c>
      <c r="B74" s="51" t="inlineStr">
        <is>
          <t>Generic</t>
        </is>
      </c>
      <c r="C74" s="51" t="inlineStr">
        <is>
          <t>box 100</t>
        </is>
      </c>
      <c r="D74" s="54" t="n">
        <v>6</v>
      </c>
      <c r="E74" s="51" t="inlineStr">
        <is>
          <t>—</t>
        </is>
      </c>
      <c r="F74" s="51" t="inlineStr">
        <is>
          <t>10 boxes</t>
        </is>
      </c>
      <c r="G74" s="53" t="n">
        <v>10</v>
      </c>
      <c r="H74" s="54">
        <f>D74*G74</f>
        <v/>
      </c>
      <c r="I74" s="51" t="inlineStr">
        <is>
          <t>Local med supply</t>
        </is>
      </c>
      <c r="J74" s="67" t="inlineStr">
        <is>
          <t>QUOTED</t>
        </is>
      </c>
    </row>
    <row r="75" ht="15" customHeight="1" s="42">
      <c r="A75" s="51" t="inlineStr">
        <is>
          <t>Syringes 2ml</t>
        </is>
      </c>
      <c r="B75" s="51" t="inlineStr">
        <is>
          <t>Generic</t>
        </is>
      </c>
      <c r="C75" s="51" t="inlineStr">
        <is>
          <t>box 100</t>
        </is>
      </c>
      <c r="D75" s="54" t="n">
        <v>5.5</v>
      </c>
      <c r="E75" s="51" t="inlineStr">
        <is>
          <t>—</t>
        </is>
      </c>
      <c r="F75" s="51" t="inlineStr">
        <is>
          <t>4 boxes</t>
        </is>
      </c>
      <c r="G75" s="53" t="n">
        <v>4</v>
      </c>
      <c r="H75" s="54">
        <f>D75*G75</f>
        <v/>
      </c>
      <c r="I75" s="51" t="inlineStr">
        <is>
          <t>Local med supply</t>
        </is>
      </c>
      <c r="J75" s="67" t="inlineStr">
        <is>
          <t>QUOTED</t>
        </is>
      </c>
    </row>
    <row r="76" ht="15" customHeight="1" s="42">
      <c r="A76" s="51" t="inlineStr">
        <is>
          <t>Syringes 5ml</t>
        </is>
      </c>
      <c r="B76" s="51" t="inlineStr">
        <is>
          <t>Generic</t>
        </is>
      </c>
      <c r="C76" s="51" t="inlineStr">
        <is>
          <t>box 100</t>
        </is>
      </c>
      <c r="D76" s="54" t="n">
        <v>5</v>
      </c>
      <c r="E76" s="51" t="inlineStr">
        <is>
          <t>—</t>
        </is>
      </c>
      <c r="F76" s="51" t="inlineStr">
        <is>
          <t>3 boxes</t>
        </is>
      </c>
      <c r="G76" s="53" t="n">
        <v>3</v>
      </c>
      <c r="H76" s="54">
        <f>D76*G76</f>
        <v/>
      </c>
      <c r="I76" s="51" t="inlineStr">
        <is>
          <t>Local med supply</t>
        </is>
      </c>
      <c r="J76" s="67" t="inlineStr">
        <is>
          <t>QUOTED</t>
        </is>
      </c>
    </row>
    <row r="77" ht="15" customHeight="1" s="42">
      <c r="A77" s="51" t="inlineStr">
        <is>
          <t>Needles 27G (botox)</t>
        </is>
      </c>
      <c r="B77" s="51" t="inlineStr">
        <is>
          <t>Generic</t>
        </is>
      </c>
      <c r="C77" s="51" t="inlineStr">
        <is>
          <t>box 100</t>
        </is>
      </c>
      <c r="D77" s="54" t="n">
        <v>4.5</v>
      </c>
      <c r="E77" s="51" t="inlineStr">
        <is>
          <t>—</t>
        </is>
      </c>
      <c r="F77" s="51" t="inlineStr">
        <is>
          <t>8 boxes</t>
        </is>
      </c>
      <c r="G77" s="53" t="n">
        <v>8</v>
      </c>
      <c r="H77" s="54">
        <f>D77*G77</f>
        <v/>
      </c>
      <c r="I77" s="51" t="inlineStr">
        <is>
          <t>Local med supply</t>
        </is>
      </c>
      <c r="J77" s="67" t="inlineStr">
        <is>
          <t>QUOTED</t>
        </is>
      </c>
    </row>
    <row r="78" ht="15" customHeight="1" s="42">
      <c r="A78" s="51" t="inlineStr">
        <is>
          <t>Needles 30G (fine filler)</t>
        </is>
      </c>
      <c r="B78" s="51" t="inlineStr">
        <is>
          <t>Generic</t>
        </is>
      </c>
      <c r="C78" s="51" t="inlineStr">
        <is>
          <t>box 100</t>
        </is>
      </c>
      <c r="D78" s="54" t="n">
        <v>5</v>
      </c>
      <c r="E78" s="51" t="inlineStr">
        <is>
          <t>—</t>
        </is>
      </c>
      <c r="F78" s="51" t="inlineStr">
        <is>
          <t>6 boxes</t>
        </is>
      </c>
      <c r="G78" s="53" t="n">
        <v>6</v>
      </c>
      <c r="H78" s="54">
        <f>D78*G78</f>
        <v/>
      </c>
      <c r="I78" s="51" t="inlineStr">
        <is>
          <t>Local med supply</t>
        </is>
      </c>
      <c r="J78" s="67" t="inlineStr">
        <is>
          <t>QUOTED</t>
        </is>
      </c>
    </row>
    <row r="79" ht="15" customHeight="1" s="42">
      <c r="A79" s="51" t="inlineStr">
        <is>
          <t>Microcannulas 22G blunt</t>
        </is>
      </c>
      <c r="B79" s="51" t="inlineStr">
        <is>
          <t>Generic</t>
        </is>
      </c>
      <c r="C79" s="51" t="inlineStr">
        <is>
          <t>box 20</t>
        </is>
      </c>
      <c r="D79" s="54" t="n">
        <v>12</v>
      </c>
      <c r="E79" s="51" t="inlineStr">
        <is>
          <t>—</t>
        </is>
      </c>
      <c r="F79" s="51" t="inlineStr">
        <is>
          <t>3 boxes</t>
        </is>
      </c>
      <c r="G79" s="53" t="n">
        <v>3</v>
      </c>
      <c r="H79" s="54">
        <f>D79*G79</f>
        <v/>
      </c>
      <c r="I79" s="51" t="inlineStr">
        <is>
          <t>Local med supply</t>
        </is>
      </c>
      <c r="J79" s="67" t="inlineStr">
        <is>
          <t>QUOTED</t>
        </is>
      </c>
    </row>
    <row r="80" ht="15" customHeight="1" s="42">
      <c r="A80" s="51" t="inlineStr">
        <is>
          <t>Microcannulas 25G blunt</t>
        </is>
      </c>
      <c r="B80" s="51" t="inlineStr">
        <is>
          <t>Generic</t>
        </is>
      </c>
      <c r="C80" s="51" t="inlineStr">
        <is>
          <t>box 20</t>
        </is>
      </c>
      <c r="D80" s="54" t="n">
        <v>11</v>
      </c>
      <c r="E80" s="51" t="inlineStr">
        <is>
          <t>—</t>
        </is>
      </c>
      <c r="F80" s="51" t="inlineStr">
        <is>
          <t>3 boxes</t>
        </is>
      </c>
      <c r="G80" s="53" t="n">
        <v>3</v>
      </c>
      <c r="H80" s="54">
        <f>D80*G80</f>
        <v/>
      </c>
      <c r="I80" s="51" t="inlineStr">
        <is>
          <t>Local med supply</t>
        </is>
      </c>
      <c r="J80" s="67" t="inlineStr">
        <is>
          <t>QUOTED</t>
        </is>
      </c>
    </row>
    <row r="81" ht="15" customHeight="1" s="42">
      <c r="A81" s="51" t="inlineStr">
        <is>
          <t>Microneedling cartridges 36-pin</t>
        </is>
      </c>
      <c r="B81" s="51" t="inlineStr">
        <is>
          <t>Dermapen-compatible</t>
        </is>
      </c>
      <c r="C81" s="51" t="inlineStr">
        <is>
          <t>box 10</t>
        </is>
      </c>
      <c r="D81" s="54" t="n">
        <v>15</v>
      </c>
      <c r="E81" s="51" t="inlineStr">
        <is>
          <t>—</t>
        </is>
      </c>
      <c r="F81" s="51" t="inlineStr">
        <is>
          <t>3 boxes</t>
        </is>
      </c>
      <c r="G81" s="53" t="n">
        <v>3</v>
      </c>
      <c r="H81" s="54">
        <f>D81*G81</f>
        <v/>
      </c>
      <c r="I81" s="51" t="inlineStr">
        <is>
          <t>Local med supply</t>
        </is>
      </c>
      <c r="J81" s="67" t="inlineStr">
        <is>
          <t>QUOTED</t>
        </is>
      </c>
    </row>
    <row r="82" ht="15" customHeight="1" s="42">
      <c r="A82" s="51" t="inlineStr">
        <is>
          <t>PRP collection tubes w/ gel</t>
        </is>
      </c>
      <c r="B82" s="51" t="inlineStr">
        <is>
          <t>Generic</t>
        </is>
      </c>
      <c r="C82" s="51" t="inlineStr">
        <is>
          <t>box 10</t>
        </is>
      </c>
      <c r="D82" s="54" t="n">
        <v>20</v>
      </c>
      <c r="E82" s="51" t="inlineStr">
        <is>
          <t>—</t>
        </is>
      </c>
      <c r="F82" s="51" t="inlineStr">
        <is>
          <t>4 boxes</t>
        </is>
      </c>
      <c r="G82" s="53" t="n">
        <v>4</v>
      </c>
      <c r="H82" s="54">
        <f>D82*G82</f>
        <v/>
      </c>
      <c r="I82" s="51" t="inlineStr">
        <is>
          <t>Local med supply</t>
        </is>
      </c>
      <c r="J82" s="67" t="inlineStr">
        <is>
          <t>QUOTED</t>
        </is>
      </c>
    </row>
    <row r="83" ht="15" customHeight="1" s="42">
      <c r="A83" s="51" t="inlineStr">
        <is>
          <t>Saline 0.9% 100ml</t>
        </is>
      </c>
      <c r="B83" s="51" t="inlineStr">
        <is>
          <t>Generic</t>
        </is>
      </c>
      <c r="C83" s="51" t="inlineStr">
        <is>
          <t>bottle</t>
        </is>
      </c>
      <c r="D83" s="54" t="n">
        <v>0.8</v>
      </c>
      <c r="E83" s="51" t="inlineStr">
        <is>
          <t>—</t>
        </is>
      </c>
      <c r="F83" s="51" t="inlineStr">
        <is>
          <t>30 bottles</t>
        </is>
      </c>
      <c r="G83" s="53" t="n">
        <v>30</v>
      </c>
      <c r="H83" s="54">
        <f>D83*G83</f>
        <v/>
      </c>
      <c r="I83" s="51" t="inlineStr">
        <is>
          <t>Local pharmacy wholesale</t>
        </is>
      </c>
      <c r="J83" s="67" t="inlineStr">
        <is>
          <t>QUOTED</t>
        </is>
      </c>
    </row>
    <row r="84" ht="15" customHeight="1" s="42">
      <c r="A84" s="56" t="inlineStr">
        <is>
          <t>Subtotal — Clinical Disposables (1-month opening stock)</t>
        </is>
      </c>
      <c r="B84" s="44" t="n"/>
      <c r="C84" s="44" t="n"/>
      <c r="D84" s="44" t="n"/>
      <c r="E84" s="44" t="n"/>
      <c r="F84" s="44" t="n"/>
      <c r="G84" s="44" t="n"/>
      <c r="H84" s="57">
        <f>SUM(H62:H83)</f>
        <v/>
      </c>
      <c r="I84" s="44" t="n"/>
      <c r="J84" s="44" t="n"/>
    </row>
    <row r="85" ht="15" customHeight="1" s="42">
      <c r="A85" s="44" t="n"/>
      <c r="B85" s="44" t="n"/>
      <c r="C85" s="44" t="n"/>
      <c r="D85" s="44" t="n"/>
      <c r="E85" s="44" t="n"/>
      <c r="F85" s="44" t="n"/>
      <c r="G85" s="44" t="n"/>
      <c r="H85" s="44" t="n"/>
      <c r="I85" s="44" t="n"/>
      <c r="J85" s="44" t="n"/>
    </row>
    <row r="86" ht="15" customHeight="1" s="42">
      <c r="A86" s="47" t="inlineStr">
        <is>
          <t>H · Laser &amp; Machine Consumables</t>
        </is>
      </c>
      <c r="B86" s="44" t="n"/>
      <c r="C86" s="44" t="n"/>
      <c r="D86" s="44" t="n"/>
      <c r="E86" s="44" t="n"/>
      <c r="F86" s="44" t="n"/>
      <c r="G86" s="44" t="n"/>
      <c r="H86" s="44" t="n"/>
      <c r="I86" s="44" t="n"/>
      <c r="J86" s="44" t="n"/>
    </row>
    <row r="87" ht="15" customHeight="1" s="42">
      <c r="A87" s="65" t="inlineStr">
        <is>
          <t>Item</t>
        </is>
      </c>
      <c r="B87" s="65" t="inlineStr">
        <is>
          <t>Brand / Product</t>
        </is>
      </c>
      <c r="C87" s="65" t="inlineStr">
        <is>
          <t>Unit</t>
        </is>
      </c>
      <c r="D87" s="66" t="inlineStr">
        <is>
          <t>Unit Cost KD</t>
        </is>
      </c>
      <c r="E87" s="65" t="inlineStr">
        <is>
          <t>MOQ / Offer</t>
        </is>
      </c>
      <c r="F87" s="65" t="inlineStr">
        <is>
          <t>First Order</t>
        </is>
      </c>
      <c r="G87" s="66" t="inlineStr">
        <is>
          <t>Qty</t>
        </is>
      </c>
      <c r="H87" s="66" t="inlineStr">
        <is>
          <t>Total KD</t>
        </is>
      </c>
      <c r="I87" s="65" t="inlineStr">
        <is>
          <t>Kuwait Supplier</t>
        </is>
      </c>
      <c r="J87" s="65" t="inlineStr">
        <is>
          <t>Status</t>
        </is>
      </c>
    </row>
    <row r="88" ht="15" customHeight="1" s="42">
      <c r="A88" s="51" t="inlineStr">
        <is>
          <t>Laser cooling gel 250ml</t>
        </is>
      </c>
      <c r="B88" s="51" t="inlineStr">
        <is>
          <t>Generic</t>
        </is>
      </c>
      <c r="C88" s="51" t="inlineStr">
        <is>
          <t>bottle</t>
        </is>
      </c>
      <c r="D88" s="54" t="n">
        <v>4</v>
      </c>
      <c r="E88" s="51" t="inlineStr">
        <is>
          <t>—</t>
        </is>
      </c>
      <c r="F88" s="51" t="inlineStr">
        <is>
          <t>12 bottles</t>
        </is>
      </c>
      <c r="G88" s="53" t="n">
        <v>12</v>
      </c>
      <c r="H88" s="54">
        <f>D88*G88</f>
        <v/>
      </c>
      <c r="I88" s="51" t="inlineStr">
        <is>
          <t>Local med supply</t>
        </is>
      </c>
      <c r="J88" s="67" t="inlineStr">
        <is>
          <t>QUOTED</t>
        </is>
      </c>
    </row>
    <row r="89" ht="15" customHeight="1" s="42">
      <c r="A89" s="51" t="inlineStr">
        <is>
          <t>Patient laser goggles</t>
        </is>
      </c>
      <c r="B89" s="51" t="inlineStr">
        <is>
          <t>Generic</t>
        </is>
      </c>
      <c r="C89" s="51" t="inlineStr">
        <is>
          <t>piece</t>
        </is>
      </c>
      <c r="D89" s="54" t="n">
        <v>2.5</v>
      </c>
      <c r="E89" s="51" t="inlineStr">
        <is>
          <t>Replace 6-monthly</t>
        </is>
      </c>
      <c r="F89" s="51" t="inlineStr">
        <is>
          <t>20 pcs</t>
        </is>
      </c>
      <c r="G89" s="53" t="n">
        <v>20</v>
      </c>
      <c r="H89" s="54">
        <f>D89*G89</f>
        <v/>
      </c>
      <c r="I89" s="51" t="inlineStr">
        <is>
          <t>Local med supply</t>
        </is>
      </c>
      <c r="J89" s="67" t="inlineStr">
        <is>
          <t>QUOTED</t>
        </is>
      </c>
    </row>
    <row r="90" ht="15" customHeight="1" s="42">
      <c r="A90" s="51" t="inlineStr">
        <is>
          <t>Staff laser goggles</t>
        </is>
      </c>
      <c r="B90" s="51" t="inlineStr">
        <is>
          <t>Laser Hub</t>
        </is>
      </c>
      <c r="C90" s="51" t="inlineStr">
        <is>
          <t>piece</t>
        </is>
      </c>
      <c r="D90" s="54" t="n">
        <v>3</v>
      </c>
      <c r="E90" s="51" t="inlineStr">
        <is>
          <t>—</t>
        </is>
      </c>
      <c r="F90" s="51" t="inlineStr">
        <is>
          <t>5 pcs</t>
        </is>
      </c>
      <c r="G90" s="53" t="n">
        <v>5</v>
      </c>
      <c r="H90" s="54">
        <f>D90*G90</f>
        <v/>
      </c>
      <c r="I90" s="51" t="inlineStr">
        <is>
          <t>Saja Gulf</t>
        </is>
      </c>
      <c r="J90" s="67" t="inlineStr">
        <is>
          <t>QUOTED</t>
        </is>
      </c>
    </row>
    <row r="91" ht="15" customHeight="1" s="42">
      <c r="A91" s="51" t="inlineStr">
        <is>
          <t>LHR disposable hair ties</t>
        </is>
      </c>
      <c r="B91" s="51" t="inlineStr">
        <is>
          <t>Generic</t>
        </is>
      </c>
      <c r="C91" s="51" t="inlineStr">
        <is>
          <t>pack 50</t>
        </is>
      </c>
      <c r="D91" s="54" t="n">
        <v>1.2</v>
      </c>
      <c r="E91" s="51" t="inlineStr">
        <is>
          <t>—</t>
        </is>
      </c>
      <c r="F91" s="51" t="inlineStr">
        <is>
          <t>4 packs</t>
        </is>
      </c>
      <c r="G91" s="53" t="n">
        <v>4</v>
      </c>
      <c r="H91" s="54">
        <f>D91*G91</f>
        <v/>
      </c>
      <c r="I91" s="51" t="inlineStr">
        <is>
          <t>Local med supply</t>
        </is>
      </c>
      <c r="J91" s="67" t="inlineStr">
        <is>
          <t>QUOTED</t>
        </is>
      </c>
    </row>
    <row r="92" ht="15" customHeight="1" s="42">
      <c r="A92" s="51" t="inlineStr">
        <is>
          <t>HydraBeauty tips + serum kits</t>
        </is>
      </c>
      <c r="B92" s="51" t="inlineStr">
        <is>
          <t>EunSung</t>
        </is>
      </c>
      <c r="C92" s="51" t="inlineStr">
        <is>
          <t>kit</t>
        </is>
      </c>
      <c r="D92" s="54" t="n">
        <v>18</v>
      </c>
      <c r="E92" s="51" t="inlineStr">
        <is>
          <t>—</t>
        </is>
      </c>
      <c r="F92" s="51" t="inlineStr">
        <is>
          <t>8 kits</t>
        </is>
      </c>
      <c r="G92" s="53" t="n">
        <v>8</v>
      </c>
      <c r="H92" s="54">
        <f>D92*G92</f>
        <v/>
      </c>
      <c r="I92" s="51" t="inlineStr">
        <is>
          <t>AMICO</t>
        </is>
      </c>
      <c r="J92" s="67" t="inlineStr">
        <is>
          <t>QUOTED</t>
        </is>
      </c>
    </row>
    <row r="93" ht="15" customHeight="1" s="42">
      <c r="A93" s="56" t="inlineStr">
        <is>
          <t>Subtotal — Laser &amp; Machine Consumables</t>
        </is>
      </c>
      <c r="B93" s="44" t="n"/>
      <c r="C93" s="44" t="n"/>
      <c r="D93" s="44" t="n"/>
      <c r="E93" s="44" t="n"/>
      <c r="F93" s="44" t="n"/>
      <c r="G93" s="44" t="n"/>
      <c r="H93" s="57">
        <f>SUM(H88:H92)</f>
        <v/>
      </c>
      <c r="I93" s="44" t="n"/>
      <c r="J93" s="44" t="n"/>
    </row>
    <row r="94" ht="15" customHeight="1" s="42">
      <c r="A94" s="44" t="n"/>
      <c r="B94" s="44" t="n"/>
      <c r="C94" s="44" t="n"/>
      <c r="D94" s="44" t="n"/>
      <c r="E94" s="44" t="n"/>
      <c r="F94" s="44" t="n"/>
      <c r="G94" s="44" t="n"/>
      <c r="H94" s="44" t="n"/>
      <c r="I94" s="44" t="n"/>
      <c r="J94" s="44" t="n"/>
    </row>
    <row r="95" ht="15" customHeight="1" s="42">
      <c r="A95" s="47" t="inlineStr">
        <is>
          <t>I · Sterilization</t>
        </is>
      </c>
      <c r="B95" s="44" t="n"/>
      <c r="C95" s="44" t="n"/>
      <c r="D95" s="44" t="n"/>
      <c r="E95" s="44" t="n"/>
      <c r="F95" s="44" t="n"/>
      <c r="G95" s="44" t="n"/>
      <c r="H95" s="44" t="n"/>
      <c r="I95" s="44" t="n"/>
      <c r="J95" s="44" t="n"/>
    </row>
    <row r="96" ht="15" customHeight="1" s="42">
      <c r="A96" s="65" t="inlineStr">
        <is>
          <t>Item</t>
        </is>
      </c>
      <c r="B96" s="65" t="inlineStr">
        <is>
          <t>Brand / Product</t>
        </is>
      </c>
      <c r="C96" s="65" t="inlineStr">
        <is>
          <t>Unit</t>
        </is>
      </c>
      <c r="D96" s="66" t="inlineStr">
        <is>
          <t>Unit Cost KD</t>
        </is>
      </c>
      <c r="E96" s="65" t="inlineStr">
        <is>
          <t>MOQ / Offer</t>
        </is>
      </c>
      <c r="F96" s="65" t="inlineStr">
        <is>
          <t>First Order</t>
        </is>
      </c>
      <c r="G96" s="66" t="inlineStr">
        <is>
          <t>Qty</t>
        </is>
      </c>
      <c r="H96" s="66" t="inlineStr">
        <is>
          <t>Total KD</t>
        </is>
      </c>
      <c r="I96" s="65" t="inlineStr">
        <is>
          <t>Kuwait Supplier</t>
        </is>
      </c>
      <c r="J96" s="65" t="inlineStr">
        <is>
          <t>Status</t>
        </is>
      </c>
    </row>
    <row r="97" ht="15" customHeight="1" s="42">
      <c r="A97" s="51" t="inlineStr">
        <is>
          <t>Autoclave pouches</t>
        </is>
      </c>
      <c r="B97" s="51" t="inlineStr">
        <is>
          <t>Generic</t>
        </is>
      </c>
      <c r="C97" s="51" t="inlineStr">
        <is>
          <t>box 200</t>
        </is>
      </c>
      <c r="D97" s="54" t="n">
        <v>8</v>
      </c>
      <c r="E97" s="51" t="inlineStr">
        <is>
          <t>—</t>
        </is>
      </c>
      <c r="F97" s="51" t="inlineStr">
        <is>
          <t>3 boxes</t>
        </is>
      </c>
      <c r="G97" s="53" t="n">
        <v>3</v>
      </c>
      <c r="H97" s="54">
        <f>D97*G97</f>
        <v/>
      </c>
      <c r="I97" s="51" t="inlineStr">
        <is>
          <t>Local med supply</t>
        </is>
      </c>
      <c r="J97" s="67" t="inlineStr">
        <is>
          <t>QUOTED</t>
        </is>
      </c>
    </row>
    <row r="98" ht="15" customHeight="1" s="42">
      <c r="A98" s="51" t="inlineStr">
        <is>
          <t>Chlorhexidine antiseptic 1L</t>
        </is>
      </c>
      <c r="B98" s="51" t="inlineStr">
        <is>
          <t>Generic</t>
        </is>
      </c>
      <c r="C98" s="51" t="inlineStr">
        <is>
          <t>bottle</t>
        </is>
      </c>
      <c r="D98" s="54" t="n">
        <v>4.5</v>
      </c>
      <c r="E98" s="51" t="inlineStr">
        <is>
          <t>—</t>
        </is>
      </c>
      <c r="F98" s="51" t="inlineStr">
        <is>
          <t>4 bottles</t>
        </is>
      </c>
      <c r="G98" s="53" t="n">
        <v>4</v>
      </c>
      <c r="H98" s="54">
        <f>D98*G98</f>
        <v/>
      </c>
      <c r="I98" s="51" t="inlineStr">
        <is>
          <t>Local med supply</t>
        </is>
      </c>
      <c r="J98" s="67" t="inlineStr">
        <is>
          <t>QUOTED</t>
        </is>
      </c>
    </row>
    <row r="99" ht="15" customHeight="1" s="42">
      <c r="A99" s="51" t="inlineStr">
        <is>
          <t>Surface disinfectant wipes</t>
        </is>
      </c>
      <c r="B99" s="51" t="inlineStr">
        <is>
          <t>Generic</t>
        </is>
      </c>
      <c r="C99" s="51" t="inlineStr">
        <is>
          <t>box 200</t>
        </is>
      </c>
      <c r="D99" s="54" t="n">
        <v>5.5</v>
      </c>
      <c r="E99" s="51" t="inlineStr">
        <is>
          <t>—</t>
        </is>
      </c>
      <c r="F99" s="51" t="inlineStr">
        <is>
          <t>6 boxes</t>
        </is>
      </c>
      <c r="G99" s="53" t="n">
        <v>6</v>
      </c>
      <c r="H99" s="54">
        <f>D99*G99</f>
        <v/>
      </c>
      <c r="I99" s="51" t="inlineStr">
        <is>
          <t>Local med supply</t>
        </is>
      </c>
      <c r="J99" s="67" t="inlineStr">
        <is>
          <t>QUOTED</t>
        </is>
      </c>
    </row>
    <row r="100" ht="15" customHeight="1" s="42">
      <c r="A100" s="56" t="inlineStr">
        <is>
          <t>Subtotal — Sterilization</t>
        </is>
      </c>
      <c r="B100" s="44" t="n"/>
      <c r="C100" s="44" t="n"/>
      <c r="D100" s="44" t="n"/>
      <c r="E100" s="44" t="n"/>
      <c r="F100" s="44" t="n"/>
      <c r="G100" s="44" t="n"/>
      <c r="H100" s="57">
        <f>SUM(H97:H99)</f>
        <v/>
      </c>
      <c r="I100" s="44" t="n"/>
      <c r="J100" s="44" t="n"/>
    </row>
    <row r="101" ht="15" customHeight="1" s="42">
      <c r="A101" s="44" t="n"/>
      <c r="B101" s="44" t="n"/>
      <c r="C101" s="44" t="n"/>
      <c r="D101" s="44" t="n"/>
      <c r="E101" s="44" t="n"/>
      <c r="F101" s="44" t="n"/>
      <c r="G101" s="44" t="n"/>
      <c r="H101" s="44" t="n"/>
      <c r="I101" s="44" t="n"/>
      <c r="J101" s="44" t="n"/>
    </row>
    <row r="102" ht="15" customHeight="1" s="42">
      <c r="A102" s="70" t="inlineStr">
        <is>
          <t>GRAND TOTAL — First inventory order</t>
        </is>
      </c>
      <c r="B102" s="44" t="n"/>
      <c r="C102" s="44" t="n"/>
      <c r="D102" s="44" t="n"/>
      <c r="E102" s="44" t="n"/>
      <c r="F102" s="44" t="n"/>
      <c r="G102" s="44" t="n"/>
      <c r="H102" s="71">
        <f>H9+H21+H31+H39+H47+H58+H84+H93+H100</f>
        <v/>
      </c>
      <c r="I102" s="44" t="n"/>
      <c r="J102" s="44" t="n"/>
    </row>
    <row r="103" ht="15" customHeight="1" s="42">
      <c r="A103" s="44" t="n"/>
      <c r="B103" s="44" t="n"/>
      <c r="C103" s="44" t="n"/>
      <c r="D103" s="44" t="n"/>
      <c r="E103" s="44" t="n"/>
      <c r="F103" s="44" t="n"/>
      <c r="G103" s="44" t="n"/>
      <c r="H103" s="44" t="n"/>
      <c r="I103" s="44" t="n"/>
      <c r="J103" s="44" t="n"/>
    </row>
    <row r="104" ht="15" customHeight="1" s="42">
      <c r="A104" s="63" t="inlineStr">
        <is>
          <t>Status key:  QUOTED = price from an actual Kuwait supplier quote (Alia, Master Data 22 Apr 2026) ·  WAITING OFFER = supplier identified, final offer pending ·  SUPPLIER TBC = no confirmed Kuwait agent yet — Alia/Khaled to source.</t>
        </is>
      </c>
      <c r="B104" s="44" t="n"/>
      <c r="C104" s="44" t="n"/>
      <c r="D104" s="44" t="n"/>
      <c r="E104" s="44" t="n"/>
      <c r="F104" s="44" t="n"/>
      <c r="G104" s="44" t="n"/>
      <c r="H104" s="44" t="n"/>
      <c r="I104" s="44" t="n"/>
      <c r="J104" s="44" t="n"/>
    </row>
    <row r="105" ht="15" customHeight="1" s="42">
      <c r="A105" s="63" t="inlineStr">
        <is>
          <t>Unverified agents (checked 4 Jun): no published Kuwait distributor found for IBSA (Profhilo), Galderma (Restylane/Sculptra), Mesoestetic (Cosmelan), Croma (Saypha) — contact regional offices or order via GCC import.</t>
        </is>
      </c>
      <c r="B105" s="44" t="n"/>
      <c r="C105" s="44" t="n"/>
      <c r="D105" s="44" t="n"/>
      <c r="E105" s="44" t="n"/>
      <c r="F105" s="44" t="n"/>
      <c r="G105" s="44" t="n"/>
      <c r="H105" s="44" t="n"/>
      <c r="I105" s="44" t="n"/>
      <c r="J105" s="44" t="n"/>
    </row>
    <row r="106" ht="15" customHeight="1" s="42">
      <c r="A106" s="63" t="inlineStr">
        <is>
          <t>Quantities = ~1 month of launch operations at Year-1 utilisation, respecting MOQs (Juvederm/Botox min 15 boxes at Al Mojil). FOC = free-of-charge bonus units included in the offers.</t>
        </is>
      </c>
      <c r="B106" s="44" t="n"/>
      <c r="C106" s="44" t="n"/>
      <c r="D106" s="44" t="n"/>
      <c r="E106" s="44" t="n"/>
      <c r="F106" s="44" t="n"/>
      <c r="G106" s="44" t="n"/>
      <c r="H106" s="44" t="n"/>
      <c r="I106" s="44" t="n"/>
      <c r="J106" s="44" t="n"/>
    </row>
    <row r="107" ht="15" customHeight="1" s="42">
      <c r="A107" s="63" t="inlineStr">
        <is>
          <t>Plastic-surgery consumables excluded — Phase 2 (Floor 9, from Aug 2026). Equipment capex (AMICO machines) excluded — see Equipment Register on the breakdown sheet.</t>
        </is>
      </c>
      <c r="B107" s="44" t="n"/>
      <c r="C107" s="44" t="n"/>
      <c r="D107" s="44" t="n"/>
      <c r="E107" s="44" t="n"/>
      <c r="F107" s="44" t="n"/>
      <c r="G107" s="44" t="n"/>
      <c r="H107" s="44" t="n"/>
      <c r="I107" s="44" t="n"/>
      <c r="J107" s="44" t="n"/>
    </row>
    <row r="108" ht="15" customHeight="1" s="42">
      <c r="A108" s="44" t="n"/>
      <c r="B108" s="44" t="n"/>
      <c r="C108" s="44" t="n"/>
      <c r="D108" s="44" t="n"/>
      <c r="E108" s="44" t="n"/>
      <c r="F108" s="44" t="n"/>
      <c r="G108" s="44" t="n"/>
      <c r="H108" s="44" t="n"/>
      <c r="I108" s="44" t="n"/>
      <c r="J108" s="44" t="n"/>
    </row>
    <row r="109" ht="15" customHeight="1" s="42">
      <c r="A109" s="64" t="inlineStr">
        <is>
          <t>● evamedical.kw · Internal document</t>
        </is>
      </c>
      <c r="B109" s="44" t="n"/>
      <c r="C109" s="44" t="n"/>
      <c r="D109" s="44" t="n"/>
      <c r="E109" s="44" t="n"/>
      <c r="F109" s="44" t="n"/>
      <c r="G109" s="44" t="n"/>
      <c r="H109" s="44" t="n"/>
      <c r="I109" s="44" t="n"/>
      <c r="J109" s="4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style="42" min="1" max="1"/>
    <col width="30" customWidth="1" style="42" min="2" max="2"/>
    <col width="42" customWidth="1" style="42" min="3" max="3"/>
    <col width="30" customWidth="1" style="42" min="4" max="4"/>
    <col width="34" customWidth="1" style="42" min="5" max="5"/>
  </cols>
  <sheetData>
    <row r="1">
      <c r="A1" s="72" t="inlineStr">
        <is>
          <t>EVA</t>
        </is>
      </c>
      <c r="B1" s="73" t="n"/>
      <c r="C1" s="73" t="n"/>
      <c r="D1" s="73" t="n"/>
      <c r="E1" s="74" t="inlineStr">
        <is>
          <t>Competitor Scan — Sabah Al-Salem</t>
        </is>
      </c>
    </row>
    <row r="2">
      <c r="A2" s="73" t="n"/>
      <c r="B2" s="73" t="n"/>
      <c r="C2" s="73" t="n"/>
      <c r="D2" s="73" t="n"/>
      <c r="E2" s="75" t="inlineStr">
        <is>
          <t>Internal · 4 June 2026 · Web research — prices mostly unpublished (IG/WhatsApp only)</t>
        </is>
      </c>
    </row>
    <row r="3">
      <c r="A3" s="73" t="n"/>
      <c r="B3" s="73" t="n"/>
      <c r="C3" s="73" t="n"/>
      <c r="D3" s="73" t="n"/>
      <c r="E3" s="73" t="n"/>
    </row>
    <row r="4">
      <c r="A4" s="76" t="inlineStr">
        <is>
          <t>A · Clinics identified in Sabah Al-Salem</t>
        </is>
      </c>
      <c r="B4" s="73" t="n"/>
      <c r="C4" s="73" t="n"/>
      <c r="D4" s="73" t="n"/>
      <c r="E4" s="73" t="n"/>
    </row>
    <row r="5">
      <c r="A5" s="77" t="inlineStr">
        <is>
          <t>Clinic</t>
        </is>
      </c>
      <c r="B5" s="77" t="inlineStr">
        <is>
          <t>Location / Contact</t>
        </is>
      </c>
      <c r="C5" s="77" t="inlineStr">
        <is>
          <t>Derma &amp; Aesthetic Services</t>
        </is>
      </c>
      <c r="D5" s="77" t="inlineStr">
        <is>
          <t>Published Prices</t>
        </is>
      </c>
      <c r="E5" s="77" t="inlineStr">
        <is>
          <t>Notes / Threat Level</t>
        </is>
      </c>
    </row>
    <row r="6" ht="58" customHeight="1" s="42">
      <c r="A6" s="78" t="inlineStr">
        <is>
          <t>Al Nahil Medical Center (النهيل)</t>
        </is>
      </c>
      <c r="B6" s="78" t="inlineStr">
        <is>
          <t>Block 1, St 101 — multi-floor tower. Lic 194/ب. T: 60753443 / 67099777. IG: @alnahil_clinic_floor2 (derma), @alnahil_clinic_floor9</t>
        </is>
      </c>
      <c r="C6" s="78" t="inlineStr">
        <is>
          <t>LHR, dermatology &amp; cosmetology, skin care, 'luxurious beauty care' positioning. Operates SEVERAL floors — same multi-floor model as Al-Qiblah tower</t>
        </is>
      </c>
      <c r="D6" s="78" t="inlineStr">
        <is>
          <t>None published — offers pushed via Instagram per floor</t>
        </is>
      </c>
      <c r="E6" s="78" t="inlineStr">
        <is>
          <t>HIGH — closest direct analog: multi-floor, derma+laser+cosmetic, aggressive IG offers. Ali's 'Naheel'</t>
        </is>
      </c>
    </row>
    <row r="7" ht="58" customHeight="1" s="42">
      <c r="A7" s="78" t="inlineStr">
        <is>
          <t>Quttainah Medical Center (QMC) — Sabah Al-Salem branch</t>
        </is>
      </c>
      <c r="B7" s="78" t="inlineStr">
        <is>
          <t>Block 1, St 127. T: 1888883. IG: @qmc.sabahalsalem</t>
        </is>
      </c>
      <c r="C7" s="78" t="inlineStr">
        <is>
          <t>Full derma: botox, fillers, chemical peels, HIFU, J-Plasma, Q-switched tattoo/pigment lasers, mesotherapy, LHR + full plastic surgery + slimming</t>
        </is>
      </c>
      <c r="D7" s="78" t="inlineStr">
        <is>
          <t>None published — 'Offers' page says COMING SOON</t>
        </is>
      </c>
      <c r="E7" s="78" t="inlineStr">
        <is>
          <t>HIGH — strongest brand (Dr. Adel Quttainah), surgeon-led, premium pricing tier</t>
        </is>
      </c>
    </row>
    <row r="8" ht="58" customHeight="1" s="42">
      <c r="A8" s="78" t="inlineStr">
        <is>
          <t>Taiba Hospital</t>
        </is>
      </c>
      <c r="B8" s="78" t="inlineStr">
        <is>
          <t>Block 3, St 3. taibahospital.com</t>
        </is>
      </c>
      <c r="C8" s="78" t="inlineStr">
        <is>
          <t>Dermatology &amp; laser department within multi-specialty private hospital</t>
        </is>
      </c>
      <c r="D8" s="78" t="inlineStr">
        <is>
          <t>None published</t>
        </is>
      </c>
      <c r="E8" s="78" t="inlineStr">
        <is>
          <t>MEDIUM — hospital setting, less aesthetic-focused, insurance-driven traffic</t>
        </is>
      </c>
    </row>
    <row r="9" ht="58" customHeight="1" s="42">
      <c r="A9" s="78" t="inlineStr">
        <is>
          <t>DSL Clinic</t>
        </is>
      </c>
      <c r="B9" s="78" t="inlineStr">
        <is>
          <t>Sabah Al-Salem. IG: @dsl_clinic</t>
        </is>
      </c>
      <c r="C9" s="78" t="inlineStr">
        <is>
          <t>Dermatology, laser, skin care</t>
        </is>
      </c>
      <c r="D9" s="78" t="inlineStr">
        <is>
          <t>None published</t>
        </is>
      </c>
      <c r="E9" s="78" t="inlineStr">
        <is>
          <t>MEDIUM — boutique derma/laser competitor</t>
        </is>
      </c>
    </row>
    <row r="10" ht="58" customHeight="1" s="42">
      <c r="A10" s="78" t="inlineStr">
        <is>
          <t>Ever More Medical</t>
        </is>
      </c>
      <c r="B10" s="78" t="inlineStr">
        <is>
          <t>Sabah Al-Salem. IG: @evermoremedical_floor4</t>
        </is>
      </c>
      <c r="C10" s="78" t="inlineStr">
        <is>
          <t>Aesthetic medicine (floor-based clinic)</t>
        </is>
      </c>
      <c r="D10" s="78" t="inlineStr">
        <is>
          <t>None published</t>
        </is>
      </c>
      <c r="E10" s="78" t="inlineStr">
        <is>
          <t>LOW-MEDIUM — smaller, newer</t>
        </is>
      </c>
    </row>
    <row r="11" ht="58" customHeight="1" s="42">
      <c r="A11" s="78" t="inlineStr">
        <is>
          <t>Al Nahil Int'l Clinic (Jleeb)</t>
        </is>
      </c>
      <c r="B11" s="78" t="inlineStr">
        <is>
          <t>Jleeb Al-Shuyoukh — Shifa Al Jazeera group. NOT the Sabah Al-Salem Nahil</t>
        </is>
      </c>
      <c r="C11" s="78" t="inlineStr">
        <is>
          <t>General multi-specialty + derma; insurance/mass-market</t>
        </is>
      </c>
      <c r="D11" s="78" t="inlineStr">
        <is>
          <t>Package-driven, budget tier</t>
        </is>
      </c>
      <c r="E11" s="78" t="inlineStr">
        <is>
          <t>LOW — different catchment &amp; segment; don't confuse the two Nahils</t>
        </is>
      </c>
    </row>
    <row r="12">
      <c r="A12" s="73" t="n"/>
      <c r="B12" s="73" t="n"/>
      <c r="C12" s="73" t="n"/>
      <c r="D12" s="73" t="n"/>
      <c r="E12" s="73" t="n"/>
    </row>
    <row r="13">
      <c r="A13" s="76" t="inlineStr">
        <is>
          <t>B · Price reference points found (Kuwait market, public web, Jun 2026)</t>
        </is>
      </c>
      <c r="B13" s="73" t="n"/>
      <c r="C13" s="73" t="n"/>
      <c r="D13" s="73" t="n"/>
      <c r="E13" s="73" t="n"/>
    </row>
    <row r="14">
      <c r="A14" s="77" t="inlineStr">
        <is>
          <t>Treatment</t>
        </is>
      </c>
      <c r="B14" s="77" t="inlineStr">
        <is>
          <t>Price found</t>
        </is>
      </c>
      <c r="C14" s="77" t="inlineStr">
        <is>
          <t>Clinic / Source</t>
        </is>
      </c>
      <c r="D14" s="77" t="inlineStr">
        <is>
          <t>vs EVA Standard</t>
        </is>
      </c>
      <c r="E14" s="77" t="inlineStr">
        <is>
          <t>Comment</t>
        </is>
      </c>
    </row>
    <row r="15" ht="44" customHeight="1" s="42">
      <c r="A15" s="78" t="inlineStr">
        <is>
          <t>Botox session (with specialist dr.)</t>
        </is>
      </c>
      <c r="B15" s="78" t="inlineStr">
        <is>
          <t>KD 135</t>
        </is>
      </c>
      <c r="C15" s="78" t="inlineStr">
        <is>
          <t>The Clinic / Lausanne Derma — Kuwait City (published e-shop)</t>
        </is>
      </c>
      <c r="D15" s="78" t="inlineStr">
        <is>
          <t>EVA: KD 65 (20u)</t>
        </is>
      </c>
      <c r="E15" s="78" t="inlineStr">
        <is>
          <t>EVA dramatically undercuts; theirs likely full-face multi-area</t>
        </is>
      </c>
    </row>
    <row r="16" ht="44" customHeight="1" s="42">
      <c r="A16" s="78" t="inlineStr">
        <is>
          <t>LHR package — 4 sessions + 2 free</t>
        </is>
      </c>
      <c r="B16" s="78" t="inlineStr">
        <is>
          <t>KD 100 (was 200)</t>
        </is>
      </c>
      <c r="C16" s="78" t="inlineStr">
        <is>
          <t>Dr. Shahy Clinic — Salmiya (published offer)</t>
        </is>
      </c>
      <c r="D16" s="78" t="inlineStr">
        <is>
          <t>EVA full-body single: KD 95</t>
        </is>
      </c>
      <c r="E16" s="78" t="inlineStr">
        <is>
          <t>≈ KD 17/session effective — package war is real; EVA package pricing must answer this</t>
        </is>
      </c>
    </row>
    <row r="17" ht="44" customHeight="1" s="42">
      <c r="A17" s="78" t="inlineStr">
        <is>
          <t>Market tiers (14 May pricing study)</t>
        </is>
      </c>
      <c r="B17" s="78" t="inlineStr">
        <is>
          <t>Botox 70–110 · Lips filler 100–160 · LHR underarms 15–25 · Profhilo 220–320 · HIFU 180–350</t>
        </is>
      </c>
      <c r="C17" s="78" t="inlineStr">
        <is>
          <t>EVA Pricing Study v3 benchmark (Bella, Bellissima, Silkor, InstaSculpt et al.)</t>
        </is>
      </c>
      <c r="D17" s="78" t="inlineStr">
        <is>
          <t>EVA positioned mid / below-floor on most</t>
        </is>
      </c>
      <c r="E17" s="78" t="inlineStr">
        <is>
          <t>Existing benchmark remains the pricing anchor</t>
        </is>
      </c>
    </row>
    <row r="18">
      <c r="A18" s="73" t="n"/>
      <c r="B18" s="73" t="n"/>
      <c r="C18" s="73" t="n"/>
      <c r="D18" s="73" t="n"/>
      <c r="E18" s="73" t="n"/>
    </row>
    <row r="19" ht="30" customHeight="1" s="42">
      <c r="A19" s="79" t="inlineStr">
        <is>
          <t>Key finding: NO Sabah Al-Salem clinic publishes a price list — all quote via Instagram DMs / WhatsApp. A 30-minute mystery-shop (WhatsApp price requests to Al Nahil, QMC, DSL) would fill this table with real numbers.</t>
        </is>
      </c>
      <c r="B19" s="73" t="n"/>
      <c r="C19" s="73" t="n"/>
      <c r="D19" s="73" t="n"/>
      <c r="E19" s="73" t="n"/>
    </row>
    <row r="20" ht="30" customHeight="1" s="42">
      <c r="A20" s="79" t="inlineStr">
        <is>
          <t>Strategic note: Al Nahil runs the same playbook EVA is planning — one tower, multiple specialised floors, separate IG account per floor. Worth studying their floor segmentation and offer cadence before launch.</t>
        </is>
      </c>
      <c r="B20" s="73" t="n"/>
      <c r="C20" s="73" t="n"/>
      <c r="D20" s="73" t="n"/>
      <c r="E20" s="73" t="n"/>
    </row>
    <row r="21" ht="30" customHeight="1" s="42">
      <c r="A21" s="79" t="inlineStr">
        <is>
          <t>Geography note: Sabah Al-Salem is ~20 min from Al-Qiblah (Kuwait City). These clinics compete for the Mubarak Al-Kabeer governorate patient base, not downtown — relevant as benchmark, not direct catchment.</t>
        </is>
      </c>
      <c r="B21" s="73" t="n"/>
      <c r="C21" s="73" t="n"/>
      <c r="D21" s="73" t="n"/>
      <c r="E21" s="73" t="n"/>
    </row>
    <row r="22">
      <c r="A22" s="73" t="n"/>
      <c r="B22" s="73" t="n"/>
      <c r="C22" s="73" t="n"/>
      <c r="D22" s="73" t="n"/>
      <c r="E22" s="73" t="n"/>
    </row>
    <row r="23">
      <c r="A23" s="80" t="inlineStr">
        <is>
          <t>● evamedical.kw · Internal document</t>
        </is>
      </c>
      <c r="B23" s="73" t="n"/>
      <c r="C23" s="73" t="n"/>
      <c r="D23" s="73" t="n"/>
      <c r="E23" s="73" t="n"/>
    </row>
  </sheetData>
  <mergeCells count="3">
    <mergeCell ref="A21:E21"/>
    <mergeCell ref="A20:E20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2026-06-04T09:15:07Z</dcterms:created>
  <dcterms:modified xmlns:dcterms="http://purl.org/dc/terms/" xmlns:xsi="http://www.w3.org/2001/XMLSchema-instance" xsi:type="dcterms:W3CDTF">2026-06-04T09:37:53Z</dcterms:modified>
  <cp:revision>0</cp:revision>
</cp:coreProperties>
</file>